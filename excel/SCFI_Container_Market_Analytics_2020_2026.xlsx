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3b2dda0d1345e2" /></Relationships>
</file>

<file path=xl/workbook.xml><?xml version="1.0" encoding="utf-8"?>
<x:workbook xmlns:x="http://schemas.openxmlformats.org/spreadsheetml/2006/main">
  <x:sheets>
    <x:sheet xmlns:r="http://schemas.openxmlformats.org/officeDocument/2006/relationships" name="Monthly Data" sheetId="1" r:id="Rb890e1791ba844ba"/>
    <x:sheet xmlns:r="http://schemas.openxmlformats.org/officeDocument/2006/relationships" name="Annual Summary" sheetId="2" r:id="Rcb7aad17a7034e42"/>
    <x:sheet xmlns:r="http://schemas.openxmlformats.org/officeDocument/2006/relationships" name="Event Study" sheetId="3" r:id="R074bcac8d9254576"/>
    <x:sheet xmlns:r="http://schemas.openxmlformats.org/officeDocument/2006/relationships" name="Route Structure" sheetId="4" r:id="R5d19597cdcf8425a"/>
    <x:sheet xmlns:r="http://schemas.openxmlformats.org/officeDocument/2006/relationships" name="Driver Model" sheetId="5" r:id="R4479759f5bae4897"/>
    <x:sheet xmlns:r="http://schemas.openxmlformats.org/officeDocument/2006/relationships" name="Data Quality" sheetId="6" r:id="Rde963742c7c048ba"/>
    <x:sheet xmlns:r="http://schemas.openxmlformats.org/officeDocument/2006/relationships" name="Interview Notes" sheetId="7" r:id="Rff3f1acbd87d49f7"/>
    <x:sheet xmlns:r="http://schemas.openxmlformats.org/officeDocument/2006/relationships" name="Dashboard" sheetId="8" r:id="Readb19a4229e454e"/>
    <x:sheet xmlns:r="http://schemas.openxmlformats.org/officeDocument/2006/relationships" name="Latest Snapshot" sheetId="9" r:id="R9f94f581eee94d2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
    <x:numFmt numFmtId="201" formatCode="#,##0.00"/>
    <x:numFmt numFmtId="202" formatCode="0.0%"/>
    <x:numFmt numFmtId="203" formatCode="yyyy-mm-dd"/>
  </x:numFmts>
  <x:fonts count="10">
    <x:font>
      <x:sz val="11"/>
      <x:name val="Carlito"/>
    </x:font>
    <x:font>
      <x:b/>
      <x:sz val="16"/>
      <x:color rgb="FFFFFFFF"/>
      <x:name val="Carlito"/>
    </x:font>
    <x:font>
      <x:i/>
      <x:sz val="10"/>
      <x:color rgb="FF0F172A"/>
      <x:name val="Carlito"/>
    </x:font>
    <x:font>
      <x:b/>
      <x:sz val="11"/>
      <x:color rgb="FFFFFFFF"/>
      <x:name val="Carlito"/>
    </x:font>
    <x:font>
      <x:b/>
      <x:sz val="15"/>
      <x:color rgb="FFFFFFFF"/>
      <x:name val="Carlito"/>
    </x:font>
    <x:font>
      <x:i/>
      <x:sz val="11"/>
      <x:name val="Carlito"/>
    </x:font>
    <x:font>
      <x:b/>
      <x:sz val="20"/>
      <x:color rgb="FFFFFFFF"/>
      <x:name val="Carlito"/>
    </x:font>
    <x:font>
      <x:i/>
      <x:sz val="11"/>
      <x:color rgb="FFDCEAF7"/>
      <x:name val="Carlito"/>
    </x:font>
    <x:font>
      <x:b/>
      <x:sz val="18"/>
      <x:color rgb="FF0F172A"/>
      <x:name val="Carlito"/>
    </x:font>
    <x:font>
      <x:b/>
      <x:sz val="12"/>
      <x:color rgb="FFFFFFFF"/>
      <x:name val="Carlito"/>
    </x:font>
  </x:fonts>
  <x:fills count="11">
    <x:fill>
      <x:patternFill patternType="none"/>
    </x:fill>
    <x:fill>
      <x:patternFill patternType="gray125"/>
    </x:fill>
    <x:fill>
      <x:patternFill patternType="solid">
        <x:fgColor rgb="FF0B1F33"/>
      </x:patternFill>
    </x:fill>
    <x:fill>
      <x:patternFill patternType="solid">
        <x:fgColor rgb="FFEAF0F7"/>
      </x:patternFill>
    </x:fill>
    <x:fill>
      <x:patternFill patternType="solid">
        <x:fgColor rgb="FF1D4ED8"/>
      </x:patternFill>
    </x:fill>
    <x:fill>
      <x:patternFill patternType="solid">
        <x:fgColor rgb="FF0F766E"/>
      </x:patternFill>
    </x:fill>
    <x:fill>
      <x:patternFill patternType="solid">
        <x:fgColor rgb="FFD97706"/>
      </x:patternFill>
    </x:fill>
    <x:fill>
      <x:patternFill patternType="solid">
        <x:fgColor rgb="FF0891B2"/>
      </x:patternFill>
    </x:fill>
    <x:fill>
      <x:patternFill patternType="solid">
        <x:fgColor rgb="FFB91C1C"/>
      </x:patternFill>
    </x:fill>
    <x:fill>
      <x:patternFill patternType="solid">
        <x:fgColor rgb="FFF4F7FB"/>
      </x:patternFill>
    </x:fill>
    <x:fill>
      <x:patternFill patternType="solid">
        <x:fgColor rgb="FF16324F"/>
      </x:patternFill>
    </x:fill>
  </x:fills>
  <x:borders count="2">
    <x:border/>
    <x:border/>
  </x:borders>
  <x:cellStyleXfs count="1">
    <x:xf numFmtId="0" fontId="0" fillId="0" borderId="0"/>
  </x:cellStyleXfs>
  <x:cellXfs count="1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wrapText="1"/>
    </x:xf>
    <x:xf numFmtId="0" fontId="3" fillId="6" borderId="1" xfId="0" applyNumberFormat="1" applyFont="1" applyFill="1" applyBorder="1" applyAlignment="1">
      <x:alignment horizontal="center" wrapText="1"/>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1" xfId="0" applyNumberFormat="1" applyFont="1" applyFill="1" applyBorder="1"/>
    <x:xf numFmtId="0" fontId="5" fillId="3" borderId="1" xfId="0" applyNumberFormat="1" applyFont="1" applyFill="1" applyBorder="1" applyAlignment="1">
      <x:alignment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wrapText="1"/>
    </x:xf>
    <x:xf numFmtId="0" fontId="3" fillId="7" borderId="1" xfId="0" applyNumberFormat="1" applyFont="1" applyFill="1" applyBorder="1" applyAlignment="1">
      <x:alignment horizont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horizontal="center" wrapText="1"/>
    </x:xf>
    <x:xf numFmtId="0" fontId="3" fillId="5" borderId="0" xfId="0" applyNumberFormat="1" applyFont="1" applyFill="1" applyBorder="1" applyAlignment="1">
      <x:alignment horizontal="center"/>
    </x:xf>
    <x:xf numFmtId="0" fontId="3" fillId="5" borderId="1" xfId="0" applyNumberFormat="1" applyFont="1" applyFill="1" applyBorder="1" applyAlignment="1">
      <x:alignment horizontal="center"/>
    </x:xf>
    <x:xf numFmtId="0" fontId="3" fillId="4" borderId="0" xfId="0" applyNumberFormat="1" applyFont="1" applyFill="1" applyBorder="1" applyAlignment="1">
      <x:alignment horizontal="center"/>
    </x:xf>
    <x:xf numFmtId="0" fontId="3" fillId="4" borderId="1" xfId="0" applyNumberFormat="1" applyFont="1" applyFill="1" applyBorder="1" applyAlignment="1">
      <x:alignment horizontal="center"/>
    </x:xf>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xf numFmtId="0" fontId="0" fillId="9" borderId="1" xfId="0" applyNumberFormat="1" applyFont="1" applyFill="1" applyBorder="1"/>
    <x:xf numFmtId="0" fontId="0" fillId="9" borderId="1" xfId="0" applyNumberFormat="1" applyFont="1" applyFill="1" applyBorder="1" applyAlignment="1">
      <x:alignment wrapText="1"/>
    </x:xf>
    <x:xf numFmtId="0" fontId="0" fillId="9" borderId="1" xfId="0" applyNumberFormat="1" applyFont="1" applyFill="1" applyBorder="1" applyAlignment="1">
      <x:alignment vertical="top" wrapText="1"/>
    </x:xf>
    <x:xf numFmtId="0" fontId="6" fillId="2" borderId="0" xfId="0" applyNumberFormat="1" applyFont="1" applyFill="1" applyBorder="1"/>
    <x:xf numFmtId="0" fontId="6" fillId="2" borderId="0" xfId="0" applyNumberFormat="1" applyFont="1" applyFill="1" applyBorder="1" applyAlignment="1">
      <x:alignment horizontal="center"/>
    </x:xf>
    <x:xf numFmtId="0" fontId="6" fillId="2" borderId="0" xfId="0" applyNumberFormat="1" applyFont="1" applyFill="1" applyBorder="1" applyAlignment="1">
      <x:alignment horizontal="center" vertical="center"/>
    </x:xf>
    <x:xf numFmtId="0" fontId="6" fillId="2" borderId="1" xfId="0" applyNumberFormat="1" applyFont="1" applyFill="1" applyBorder="1"/>
    <x:xf numFmtId="0" fontId="6" fillId="2" borderId="1" xfId="0" applyNumberFormat="1" applyFont="1" applyFill="1" applyBorder="1" applyAlignment="1">
      <x:alignment horizontal="center"/>
    </x:xf>
    <x:xf numFmtId="0" fontId="6" fillId="2" borderId="1" xfId="0" applyNumberFormat="1" applyFont="1" applyFill="1" applyBorder="1" applyAlignment="1">
      <x:alignment horizontal="center" vertical="center"/>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horizontal="center"/>
    </x:xf>
    <x:xf numFmtId="0" fontId="0" fillId="10" borderId="1" xfId="0" applyNumberFormat="1" applyFont="1" applyFill="1" applyBorder="1"/>
    <x:xf numFmtId="0" fontId="7" fillId="10" borderId="1" xfId="0" applyNumberFormat="1" applyFont="1" applyFill="1" applyBorder="1"/>
    <x:xf numFmtId="0" fontId="7" fillId="10" borderId="1" xfId="0" applyNumberFormat="1" applyFont="1" applyFill="1" applyBorder="1" applyAlignment="1">
      <x:alignment horizontal="center"/>
    </x:xf>
    <x:xf numFmtId="0" fontId="8" fillId="9" borderId="0" xfId="0" applyNumberFormat="1" applyFont="1" applyFill="1" applyBorder="1"/>
    <x:xf numFmtId="0" fontId="8" fillId="9" borderId="0" xfId="0" applyNumberFormat="1" applyFont="1" applyFill="1" applyBorder="1" applyAlignment="1">
      <x:alignment horizontal="center"/>
    </x:xf>
    <x:xf numFmtId="0" fontId="8" fillId="9" borderId="0" xfId="0" applyNumberFormat="1" applyFont="1" applyFill="1" applyBorder="1" applyAlignment="1">
      <x:alignment horizontal="center" vertical="center"/>
    </x:xf>
    <x:xf numFmtId="0" fontId="8" fillId="9" borderId="1" xfId="0" applyNumberFormat="1" applyFont="1" applyFill="1" applyBorder="1"/>
    <x:xf numFmtId="0" fontId="8" fillId="9" borderId="1" xfId="0" applyNumberFormat="1" applyFont="1" applyFill="1" applyBorder="1" applyAlignment="1">
      <x:alignment horizontal="center"/>
    </x:xf>
    <x:xf numFmtId="0" fontId="8" fillId="9" borderId="1" xfId="0" applyNumberFormat="1" applyFont="1" applyFill="1" applyBorder="1" applyAlignment="1">
      <x:alignment horizontal="center" vertical="center"/>
    </x:xf>
    <x:xf numFmtId="201" fontId="8" fillId="9" borderId="0" xfId="0" applyNumberFormat="1" applyFont="1" applyFill="1" applyBorder="1" applyAlignment="1">
      <x:alignment horizontal="center" vertical="center"/>
    </x:xf>
    <x:xf numFmtId="201" fontId="8" fillId="9" borderId="1" xfId="0" applyNumberFormat="1" applyFont="1" applyFill="1" applyBorder="1" applyAlignment="1">
      <x:alignment horizontal="center" vertical="center"/>
    </x:xf>
    <x:xf numFmtId="202" fontId="8" fillId="9" borderId="0" xfId="0" applyNumberFormat="1" applyFont="1" applyFill="1" applyBorder="1" applyAlignment="1">
      <x:alignment horizontal="center" vertical="center"/>
    </x:xf>
    <x:xf numFmtId="202" fontId="8" fillId="9" borderId="1" xfId="0" applyNumberFormat="1" applyFont="1" applyFill="1" applyBorder="1" applyAlignment="1">
      <x:alignment horizontal="center" vertical="center"/>
    </x:xf>
    <x:xf numFmtId="0" fontId="3" fillId="6" borderId="0" xfId="0" applyNumberFormat="1" applyFont="1" applyFill="1" applyBorder="1" applyAlignment="1">
      <x:alignment horizontal="center"/>
    </x:xf>
    <x:xf numFmtId="0" fontId="3" fillId="6" borderId="1" xfId="0" applyNumberFormat="1" applyFont="1" applyFill="1" applyBorder="1" applyAlignment="1">
      <x:alignment horizontal="center"/>
    </x:xf>
    <x:xf numFmtId="0" fontId="9" fillId="2" borderId="0" xfId="0" applyNumberFormat="1" applyFont="1" applyFill="1" applyBorder="1"/>
    <x:xf numFmtId="0" fontId="9" fillId="2" borderId="0" xfId="0" applyNumberFormat="1" applyFont="1" applyFill="1" applyBorder="1" applyAlignment="1">
      <x:alignment horizontal="center"/>
    </x:xf>
    <x:xf numFmtId="0" fontId="9" fillId="2" borderId="1" xfId="0" applyNumberFormat="1" applyFont="1" applyFill="1" applyBorder="1"/>
    <x:xf numFmtId="0" fontId="9" fillId="2" borderId="1" xfId="0" applyNumberFormat="1" applyFont="1" applyFill="1" applyBorder="1" applyAlignment="1">
      <x:alignment horizontal="center"/>
    </x:xf>
    <x:xf numFmtId="203" fontId="0" fillId="0" borderId="0" xfId="0" applyNumberFormat="1" applyFont="1" applyFill="1" applyBorder="1"/>
  </x:cellXfs>
  <x:cellStyles count="1">
    <x:cellStyle name="Normal" xfId="0"/>
  </x:cellStyles>
  <x:dxfs count="3">
    <x:dxf>
      <x:font>
        <x:b/>
      </x:font>
      <x:fill>
        <x:patternFill patternType="solid">
          <x:bgColor rgb="FFFCA5A5"/>
        </x:patternFill>
      </x:fill>
    </x:dxf>
    <x:dxf>
      <x:fill>
        <x:patternFill patternType="solid">
          <x:bgColor rgb="FFFED7AA"/>
        </x:patternFill>
      </x:fill>
    </x:dxf>
    <x:dxf>
      <x:fill>
        <x:patternFill patternType="solid">
          <x:bgColor rgb="FFDBEA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0f76055430f4a00" /><Relationship Type="http://schemas.openxmlformats.org/officeDocument/2006/relationships/theme" Target="/xl/theme/theme1.xml" Id="Rc675af3a0b05479f" /><Relationship Type="http://schemas.openxmlformats.org/officeDocument/2006/relationships/sharedStrings" Target="/xl/sharedStrings.xml" Id="Ra2735786fdbf475f" /><Relationship Type="http://schemas.openxmlformats.org/officeDocument/2006/relationships/worksheet" Target="/xl/worksheets/sheet1.xml" Id="Rb890e1791ba844ba" /><Relationship Type="http://schemas.openxmlformats.org/officeDocument/2006/relationships/worksheet" Target="/xl/worksheets/sheet2.xml" Id="Rcb7aad17a7034e42" /><Relationship Type="http://schemas.openxmlformats.org/officeDocument/2006/relationships/worksheet" Target="/xl/worksheets/sheet3.xml" Id="R074bcac8d9254576" /><Relationship Type="http://schemas.openxmlformats.org/officeDocument/2006/relationships/worksheet" Target="/xl/worksheets/sheet4.xml" Id="R5d19597cdcf8425a" /><Relationship Type="http://schemas.openxmlformats.org/officeDocument/2006/relationships/worksheet" Target="/xl/worksheets/sheet5.xml" Id="R4479759f5bae4897" /><Relationship Type="http://schemas.openxmlformats.org/officeDocument/2006/relationships/worksheet" Target="/xl/worksheets/sheet6.xml" Id="Rde963742c7c048ba" /><Relationship Type="http://schemas.openxmlformats.org/officeDocument/2006/relationships/worksheet" Target="/xl/worksheets/sheet7.xml" Id="Rff3f1acbd87d49f7" /><Relationship Type="http://schemas.openxmlformats.org/officeDocument/2006/relationships/worksheet" Target="/xl/worksheets/sheet8.xml" Id="Readb19a4229e454e" /><Relationship Type="http://schemas.openxmlformats.org/officeDocument/2006/relationships/worksheet" Target="/xl/worksheets/sheet9.xml" Id="R9f94f581eee94d22" /></Relationships>
</file>

<file path=xl/drawings/_rels/drawing1.xml.rels>&#65279;<?xml version="1.0" encoding="utf-8"?><Relationships xmlns="http://schemas.openxmlformats.org/package/2006/relationships"><Relationship Type="http://schemas.openxmlformats.org/officeDocument/2006/relationships/chart" Target="/xl/drawings/charts/chart1.xml" Id="Re6e0ca74612a4a84" /><Relationship Type="http://schemas.openxmlformats.org/officeDocument/2006/relationships/chart" Target="/xl/drawings/charts/chart2.xml" Id="R6314077213424e85" /><Relationship Type="http://schemas.openxmlformats.org/officeDocument/2006/relationships/chart" Target="/xl/drawings/charts/chart3.xml" Id="R19b582a112c94dc5" /><Relationship Type="http://schemas.openxmlformats.org/officeDocument/2006/relationships/chart" Target="/xl/drawings/charts/chart4.xml" Id="Ra83704c16586486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SCFI Monthly Trend</a:t>
            </a:r>
          </a:p>
        </c:rich>
      </c:tx>
      <c:overlay val="0"/>
    </c:title>
    <c:autoTitleDeleted val="0"/>
    <c:plotArea>
      <c:layout/>
      <c:lineChart>
        <c:grouping val="standard"/>
        <c:ser>
          <c:idx val="0"/>
          <c:order val="0"/>
          <c:tx>
            <c:v>SCFI</c:v>
          </c:tx>
          <c:cat>
            <c:strRef>
              <c:f>'Monthly Data'!$A$5:$A$83</c:f>
              <c:strCache>
                <c:ptCount val="0"/>
              </c:strCache>
            </c:strRef>
          </c:cat>
          <c:val>
            <c:numRef>
              <c:f>'Monthly Data'!$B$5:$B$83</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yyyy"/>
        <c:majorTickMark val="none"/>
        <c:minorTickMark val="none"/>
        <c:tickLblPos val="nextTo"/>
        <c:tickLblSkip val="12"/>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SCFI vs 12M Moving Average</a:t>
            </a:r>
          </a:p>
        </c:rich>
      </c:tx>
      <c:overlay val="0"/>
    </c:title>
    <c:autoTitleDeleted val="0"/>
    <c:plotArea>
      <c:layout/>
      <c:lineChart>
        <c:grouping val="standard"/>
        <c:ser>
          <c:idx val="0"/>
          <c:order val="0"/>
          <c:tx>
            <c:v>SCFI</c:v>
          </c:tx>
          <c:cat>
            <c:strRef>
              <c:f>'Monthly Data'!$A$5:$A$83</c:f>
              <c:strCache>
                <c:ptCount val="0"/>
              </c:strCache>
            </c:strRef>
          </c:cat>
          <c:val>
            <c:numRef>
              <c:f>'Monthly Data'!$B$5:$B$83</c:f>
              <c:numCache>
                <c:formatCode>#,##0</c:formatCode>
                <c:ptCount val="0"/>
              </c:numCache>
            </c:numRef>
          </c:val>
          <c:smooth val="0"/>
        </c:ser>
        <c:ser>
          <c:idx val="1"/>
          <c:order val="1"/>
          <c:tx>
            <c:v>12M MA</c:v>
          </c:tx>
          <c:cat>
            <c:strRef>
              <c:f>'Monthly Data'!$A$5:$A$83</c:f>
              <c:strCache>
                <c:ptCount val="0"/>
              </c:strCache>
            </c:strRef>
          </c:cat>
          <c:val>
            <c:numRef>
              <c:f>'Monthly Data'!$F$5:$F$83</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yyyy"/>
        <c:majorTickMark val="none"/>
        <c:minorTickMark val="none"/>
        <c:tickLblPos val="nextTo"/>
        <c:tickLblSkip val="12"/>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Annual Average SCFI</a:t>
            </a:r>
          </a:p>
        </c:rich>
      </c:tx>
      <c:overlay val="0"/>
    </c:title>
    <c:autoTitleDeleted val="0"/>
    <c:plotArea>
      <c:layout/>
      <c:barChart>
        <c:barDir val="col"/>
        <c:varyColors val="0"/>
        <c:ser>
          <c:idx val="0"/>
          <c:order val="0"/>
          <c:tx>
            <c:v>Annual Average</c:v>
          </c:tx>
          <c:cat>
            <c:strRef>
              <c:f>'Annual Summary'!$A$4:$A$10</c:f>
              <c:strCache>
                <c:ptCount val="0"/>
              </c:strCache>
            </c:strRef>
          </c:cat>
          <c:val>
            <c:numRef>
              <c:f>'Annual Summary'!$B$4:$B$10</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Rolling 12M Annualized Volatility</a:t>
            </a:r>
          </a:p>
        </c:rich>
      </c:tx>
      <c:overlay val="0"/>
    </c:title>
    <c:autoTitleDeleted val="0"/>
    <c:plotArea>
      <c:layout/>
      <c:lineChart>
        <c:grouping val="standard"/>
        <c:ser>
          <c:idx val="0"/>
          <c:order val="0"/>
          <c:tx>
            <c:v>Volatility</c:v>
          </c:tx>
          <c:cat>
            <c:strRef>
              <c:f>'Monthly Data'!$A$5:$A$83</c:f>
              <c:strCache>
                <c:ptCount val="0"/>
              </c:strCache>
            </c:strRef>
          </c:cat>
          <c:val>
            <c:numRef>
              <c:f>'Monthly Data'!$G$5:$G$83</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yyyy"/>
        <c:majorTickMark val="none"/>
        <c:minorTickMark val="none"/>
        <c:tickLblPos val="nextTo"/>
        <c:tickLblSkip val="12"/>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16</xdr:row>
      <xdr:rowOff>0</xdr:rowOff>
    </xdr:from>
    <xdr:to>
      <xdr:col>8</xdr:col>
      <xdr:colOff>0</xdr:colOff>
      <xdr:row>35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6e0ca74612a4a84"/>
        </a:graphicData>
      </a:graphic>
    </xdr:graphicFrame>
    <xdr:clientData/>
  </xdr:twoCellAnchor>
  <xdr:twoCellAnchor>
    <xdr:from>
      <xdr:col>8</xdr:col>
      <xdr:colOff>0</xdr:colOff>
      <xdr:row>16</xdr:row>
      <xdr:rowOff>0</xdr:rowOff>
    </xdr:from>
    <xdr:to>
      <xdr:col>14</xdr:col>
      <xdr:colOff>0</xdr:colOff>
      <xdr:row>35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314077213424e85"/>
        </a:graphicData>
      </a:graphic>
    </xdr:graphicFrame>
    <xdr:clientData/>
  </xdr:twoCellAnchor>
  <xdr:twoCellAnchor>
    <xdr:from>
      <xdr:col>0</xdr:col>
      <xdr:colOff>0</xdr:colOff>
      <xdr:row>36</xdr:row>
      <xdr:rowOff>0</xdr:rowOff>
    </xdr:from>
    <xdr:to>
      <xdr:col>7</xdr:col>
      <xdr:colOff>0</xdr:colOff>
      <xdr:row>53</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9b582a112c94dc5"/>
        </a:graphicData>
      </a:graphic>
    </xdr:graphicFrame>
    <xdr:clientData/>
  </xdr:twoCellAnchor>
  <xdr:twoCellAnchor>
    <xdr:from>
      <xdr:col>7</xdr:col>
      <xdr:colOff>0</xdr:colOff>
      <xdr:row>36</xdr:row>
      <xdr:rowOff>0</xdr:rowOff>
    </xdr:from>
    <xdr:to>
      <xdr:col>14</xdr:col>
      <xdr:colOff>0</xdr:colOff>
      <xdr:row>53</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83704c165864867"/>
        </a:graphicData>
      </a:graphic>
    </xdr:graphicFrame>
    <xdr:clientData/>
  </xdr:twoCellAnchor>
</xdr:wsDr>
</file>

<file path=xl/tables/table1.xml><?xml version="1.0" encoding="utf-8"?>
<x:table xmlns:x="http://schemas.openxmlformats.org/spreadsheetml/2006/main" id="1" name="SCFIMonthlyTable" displayName="SCFIMonthlyTable" ref="A4:N83" headerRowCount="1">
  <x:tableColumns count="14">
    <x:tableColumn id="1" name="Date"/>
    <x:tableColumn id="2" name="SCFI"/>
    <x:tableColumn id="3" name="MoM Change"/>
    <x:tableColumn id="4" name="YoY Change"/>
    <x:tableColumn id="5" name="3M Moving Avg"/>
    <x:tableColumn id="6" name="12M Moving Avg"/>
    <x:tableColumn id="7" name="12M Ann. Volatility"/>
    <x:tableColumn id="8" name="Drawdown"/>
    <x:tableColumn id="9" name="Market Phase"/>
    <x:tableColumn id="10" name="Event Tag"/>
    <x:tableColumn id="11" name="Data Status"/>
    <x:tableColumn id="12" name="Source"/>
    <x:tableColumn id="13" name="Source URL"/>
    <x:tableColumn id="14" name="Year"/>
  </x:tableColumns>
  <x:tableStyleInfo name="TableStyleMedium2" showRowStripes="1"/>
</x:table>
</file>

<file path=xl/tables/table2.xml><?xml version="1.0" encoding="utf-8"?>
<x:table xmlns:x="http://schemas.openxmlformats.org/spreadsheetml/2006/main" id="2" name="SCFIAnnualTable" displayName="SCFIAnnualTable" ref="A3:I10" headerRowCount="1">
  <x:tableColumns count="9">
    <x:tableColumn id="1" name="Year"/>
    <x:tableColumn id="2" name="Average SCFI"/>
    <x:tableColumn id="3" name="Min"/>
    <x:tableColumn id="4" name="Max"/>
    <x:tableColumn id="5" name="Annual Avg YoY"/>
    <x:tableColumn id="6" name="Monthly Volatility"/>
    <x:tableColumn id="7" name="Peak-to-Trough"/>
    <x:tableColumn id="8" name="Market Regime"/>
    <x:tableColumn id="9" name="Primary Driver"/>
  </x:tableColumns>
  <x:tableStyleInfo name="TableStyleMedium2" showRowStripes="1"/>
</x:table>
</file>

<file path=xl/tables/table3.xml><?xml version="1.0" encoding="utf-8"?>
<x:table xmlns:x="http://schemas.openxmlformats.org/spreadsheetml/2006/main" id="3" name="SCFIEventTable" displayName="SCFIEventTable" ref="A3:J15" headerRowCount="1">
  <x:tableColumns count="10">
    <x:tableColumn id="1" name="Event Date"/>
    <x:tableColumn id="2" name="Event"/>
    <x:tableColumn id="3" name="SCFI"/>
    <x:tableColumn id="4" name="3M Before"/>
    <x:tableColumn id="5" name="3M After"/>
    <x:tableColumn id="6" name="6M Impact"/>
    <x:tableColumn id="7" name="Demand Effect"/>
    <x:tableColumn id="8" name="Effective Supply Effect"/>
    <x:tableColumn id="9" name="Mechanism"/>
    <x:tableColumn id="10" name="Evidence / Source"/>
  </x:tableColumns>
  <x:tableStyleInfo name="TableStyleMedium2" showRowStripes="1"/>
</x:table>
</file>

<file path=xl/tables/table4.xml><?xml version="1.0" encoding="utf-8"?>
<x:table xmlns:x="http://schemas.openxmlformats.org/spreadsheetml/2006/main" id="4" name="SCFIRouteTable" displayName="SCFIRouteTable" ref="A4:G19" headerRowCount="1">
  <x:tableColumns count="7">
    <x:tableColumn id="1" name="No."/>
    <x:tableColumn id="2" name="Route"/>
    <x:tableColumn id="3" name="Benchmark Port / Scope"/>
    <x:tableColumn id="4" name="Unit"/>
    <x:tableColumn id="5" name="Weight"/>
    <x:tableColumn id="6" name="Market Role"/>
    <x:tableColumn id="7" name="Official Reference"/>
  </x:tableColumns>
  <x:tableStyleInfo name="TableStyleMedium2" showRowStripes="1"/>
</x:table>
</file>

<file path=xl/tables/table5.xml><?xml version="1.0" encoding="utf-8"?>
<x:table xmlns:x="http://schemas.openxmlformats.org/spreadsheetml/2006/main" id="5" name="SCFIDriverTable" displayName="SCFIDriverTable" ref="A3:H12" headerRowCount="1">
  <x:tableColumns count="8">
    <x:tableColumn id="1" name="Driver"/>
    <x:tableColumn id="2" name="Side"/>
    <x:tableColumn id="3" name="Typical Signal"/>
    <x:tableColumn id="4" name="Transmission to SCFI"/>
    <x:tableColumn id="5" name="Lag"/>
    <x:tableColumn id="6" name="2026 Relevance (1-5)"/>
    <x:tableColumn id="7" name="What to Monitor"/>
    <x:tableColumn id="8" name="Interview Insigh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25b018d17e74e6f" /></Relationships>
</file>

<file path=xl/worksheets/_rels/sheet2.xml.rels>&#65279;<?xml version="1.0" encoding="utf-8"?><Relationships xmlns="http://schemas.openxmlformats.org/package/2006/relationships"><Relationship Type="http://schemas.openxmlformats.org/officeDocument/2006/relationships/table" Target="/xl/tables/table2.xml" Id="Rf36ab20dc3754505" /></Relationships>
</file>

<file path=xl/worksheets/_rels/sheet3.xml.rels>&#65279;<?xml version="1.0" encoding="utf-8"?><Relationships xmlns="http://schemas.openxmlformats.org/package/2006/relationships"><Relationship Type="http://schemas.openxmlformats.org/officeDocument/2006/relationships/table" Target="/xl/tables/table3.xml" Id="R7f83904b0eec45cb" /></Relationships>
</file>

<file path=xl/worksheets/_rels/sheet4.xml.rels>&#65279;<?xml version="1.0" encoding="utf-8"?><Relationships xmlns="http://schemas.openxmlformats.org/package/2006/relationships"><Relationship Type="http://schemas.openxmlformats.org/officeDocument/2006/relationships/table" Target="/xl/tables/table4.xml" Id="Rf464e17ac0c1493d" /></Relationships>
</file>

<file path=xl/worksheets/_rels/sheet5.xml.rels>&#65279;<?xml version="1.0" encoding="utf-8"?><Relationships xmlns="http://schemas.openxmlformats.org/package/2006/relationships"><Relationship Type="http://schemas.openxmlformats.org/officeDocument/2006/relationships/table" Target="/xl/tables/table5.xml" Id="R7586bac14d8943e5" /></Relationships>
</file>

<file path=xl/worksheets/_rels/sheet8.xml.rels>&#65279;<?xml version="1.0" encoding="utf-8"?><Relationships xmlns="http://schemas.openxmlformats.org/package/2006/relationships"><Relationship Type="http://schemas.openxmlformats.org/officeDocument/2006/relationships/drawing" Target="/xl/drawings/drawing1.xml" Id="R0ca9143061324799" /></Relationships>
</file>

<file path=xl/worksheets/sheet1.xml><?xml version="1.0" encoding="utf-8"?>
<x:worksheet xmlns:x="http://schemas.openxmlformats.org/spreadsheetml/2006/main">
  <x:sheetFormatPr defaultRowHeight="15"/>
  <x:cols>
    <x:col min="1" max="1" width="13" hidden="0" customWidth="1"/>
    <x:col min="2" max="2" width="12" hidden="0" customWidth="1"/>
    <x:col min="3" max="3" width="12" hidden="0" customWidth="1"/>
    <x:col min="4" max="4" width="12" hidden="0" customWidth="1"/>
    <x:col min="5" max="5" width="15" hidden="0" customWidth="1"/>
    <x:col min="6" max="6" width="15" hidden="0" customWidth="1"/>
    <x:col min="7" max="7" width="17" hidden="0" customWidth="1"/>
    <x:col min="8" max="8" width="12" hidden="0" customWidth="1"/>
    <x:col min="9" max="9" width="13" hidden="0" customWidth="1"/>
    <x:col min="10" max="10" width="28" hidden="0" customWidth="1"/>
    <x:col min="11" max="11" width="25" hidden="0" customWidth="1"/>
    <x:col min="12" max="12" width="22" hidden="0" customWidth="1"/>
    <x:col min="13" max="13" width="46" hidden="0" customWidth="1"/>
    <x:col min="14" max="14" width="9" hidden="0" customWidth="1"/>
  </x:cols>
  <x:sheetData>
    <x:row r="1" ht="32" customHeight="1">
      <x:c r="A1" s="5" t="str">
        <x:v>SCFI Monthly Reference Data | 2020-2026</x:v>
      </x:c>
      <x:c r="B1" s="5"/>
      <x:c r="C1" s="5"/>
      <x:c r="D1" s="5"/>
      <x:c r="E1" s="5"/>
      <x:c r="F1" s="5"/>
      <x:c r="G1" s="5"/>
      <x:c r="H1" s="5"/>
      <x:c r="I1" s="5"/>
      <x:c r="J1" s="5"/>
      <x:c r="K1" s="5"/>
      <x:c r="L1" s="5"/>
      <x:c r="M1" s="5"/>
      <x:c r="N1" s="5"/>
    </x:row>
    <x:row r="2" ht="34" customHeight="1">
      <x:c r="A2" s="13" t="str">
        <x:v>Scope: public-chart monthly reference curve with published anchors. Not the licensed complete weekly raw series. Latest row is a public current reading as of 2026-07-17.</x:v>
      </x:c>
      <x:c r="B2" s="13"/>
      <x:c r="C2" s="13"/>
      <x:c r="D2" s="13"/>
      <x:c r="E2" s="13"/>
      <x:c r="F2" s="13"/>
      <x:c r="G2" s="13"/>
      <x:c r="H2" s="13"/>
      <x:c r="I2" s="13"/>
      <x:c r="J2" s="13"/>
      <x:c r="K2" s="13"/>
      <x:c r="L2" s="13"/>
      <x:c r="M2" s="13"/>
      <x:c r="N2" s="13"/>
    </x:row>
    <x:row r="4" ht="30" customHeight="1">
      <x:c r="A4" s="22" t="str">
        <x:v>Date</x:v>
      </x:c>
      <x:c r="B4" s="22" t="str">
        <x:v>SCFI</x:v>
      </x:c>
      <x:c r="C4" s="22" t="str">
        <x:v>MoM Change</x:v>
      </x:c>
      <x:c r="D4" s="22" t="str">
        <x:v>YoY Change</x:v>
      </x:c>
      <x:c r="E4" s="22" t="str">
        <x:v>3M Moving Avg</x:v>
      </x:c>
      <x:c r="F4" s="22" t="str">
        <x:v>12M Moving Avg</x:v>
      </x:c>
      <x:c r="G4" s="22" t="str">
        <x:v>12M Ann. Volatility</x:v>
      </x:c>
      <x:c r="H4" s="22" t="str">
        <x:v>Drawdown</x:v>
      </x:c>
      <x:c r="I4" s="22" t="str">
        <x:v>Market Phase</x:v>
      </x:c>
      <x:c r="J4" s="22" t="str">
        <x:v>Event Tag</x:v>
      </x:c>
      <x:c r="K4" s="22" t="str">
        <x:v>Data Status</x:v>
      </x:c>
      <x:c r="L4" s="22" t="str">
        <x:v>Source</x:v>
      </x:c>
      <x:c r="M4" s="22" t="str">
        <x:v>Source URL</x:v>
      </x:c>
      <x:c r="N4" s="22" t="str">
        <x:v>Year</x:v>
      </x:c>
    </x:row>
    <x:row r="5">
      <x:c r="A5" s="28" t="n">
        <x:v>43831</x:v>
      </x:c>
      <x:c r="B5" s="30" t="n">
        <x:v>1022.72</x:v>
      </x:c>
      <x:c r="C5" s="32"/>
      <x:c r="D5" s="32"/>
      <x:c r="E5" s="30" t="n">
        <x:f>AVERAGE(B5:B5)</x:f>
        <x:v>1022.72</x:v>
      </x:c>
      <x:c r="F5" s="30" t="n">
        <x:f>AVERAGE(B5:B5)</x:f>
        <x:v>1022.72</x:v>
      </x:c>
      <x:c r="G5" s="32"/>
      <x:c r="H5" s="32" t="n">
        <x:f>B5/MAX($B$5:B5)-1</x:f>
        <x:v>0</x:v>
      </x:c>
      <x:c r="I5" s="34" t="str">
        <x:f>IF(B5&lt;1000,"Low",IF(B5&lt;1800,"Normal",IF(B5&lt;3000,"Elevated",IF(B5&lt;4500,"High","Extreme"))))</x:f>
        <x:v>Normal</x:v>
      </x:c>
      <x:c r="J5" s="35" t="str"/>
      <x:c r="K5" s="35" t="str">
        <x:v>Trend reconstruction</x:v>
      </x:c>
      <x:c r="L5" s="35" t="str">
        <x:v>Public chart / published-anchor interpolation</x:v>
      </x:c>
      <x:c r="M5" s="35" t="str">
        <x:v>https://en.sse.net.cn/indices/scfinew.jsp</x:v>
      </x:c>
      <x:c r="N5" s="34" t="n">
        <x:v>2020</x:v>
      </x:c>
    </x:row>
    <x:row r="6">
      <x:c r="A6" s="28" t="n">
        <x:v>43862</x:v>
      </x:c>
      <x:c r="B6" s="30" t="n">
        <x:v>875</x:v>
      </x:c>
      <x:c r="C6" s="32" t="n">
        <x:f>B6/B5-1</x:f>
        <x:v>-0.14443836045056324</x:v>
      </x:c>
      <x:c r="D6" s="32"/>
      <x:c r="E6" s="30" t="n">
        <x:f>AVERAGE(B5:B6)</x:f>
        <x:v>948.86</x:v>
      </x:c>
      <x:c r="F6" s="30" t="n">
        <x:f>AVERAGE(B5:B6)</x:f>
        <x:v>948.86</x:v>
      </x:c>
      <x:c r="G6" s="32"/>
      <x:c r="H6" s="32" t="n">
        <x:f>B6/MAX($B$5:B6)-1</x:f>
        <x:v>-0.14443836045056324</x:v>
      </x:c>
      <x:c r="I6" s="34" t="str">
        <x:f>IF(B6&lt;1000,"Low",IF(B6&lt;1800,"Normal",IF(B6&lt;3000,"Elevated",IF(B6&lt;4500,"High","Extreme"))))</x:f>
        <x:v>Low</x:v>
      </x:c>
      <x:c r="J6" s="35" t="str">
        <x:v>Pandemic shock</x:v>
      </x:c>
      <x:c r="K6" s="35" t="str">
        <x:v>Trend reconstruction</x:v>
      </x:c>
      <x:c r="L6" s="35" t="str">
        <x:v>Public chart / published-anchor interpolation</x:v>
      </x:c>
      <x:c r="M6" s="35" t="str">
        <x:v>https://en.sse.net.cn/indices/scfinew.jsp</x:v>
      </x:c>
      <x:c r="N6" s="34" t="n">
        <x:v>2020</x:v>
      </x:c>
    </x:row>
    <x:row r="7">
      <x:c r="A7" s="28" t="n">
        <x:v>43891</x:v>
      </x:c>
      <x:c r="B7" s="30" t="n">
        <x:v>898</x:v>
      </x:c>
      <x:c r="C7" s="32" t="n">
        <x:f>B7/B6-1</x:f>
        <x:v>0.026285714285714246</x:v>
      </x:c>
      <x:c r="D7" s="32"/>
      <x:c r="E7" s="30" t="n">
        <x:f>AVERAGE(B5:B7)</x:f>
        <x:v>931.9066666666668</x:v>
      </x:c>
      <x:c r="F7" s="30" t="n">
        <x:f>AVERAGE(B5:B7)</x:f>
        <x:v>931.9066666666668</x:v>
      </x:c>
      <x:c r="G7" s="32" t="n">
        <x:v>0.2957027715184188</x:v>
      </x:c>
      <x:c r="H7" s="32" t="n">
        <x:f>B7/MAX($B$5:B7)-1</x:f>
        <x:v>-0.12194931163954947</x:v>
      </x:c>
      <x:c r="I7" s="34" t="str">
        <x:f>IF(B7&lt;1000,"Low",IF(B7&lt;1800,"Normal",IF(B7&lt;3000,"Elevated",IF(B7&lt;4500,"High","Extreme"))))</x:f>
        <x:v>Low</x:v>
      </x:c>
      <x:c r="J7" s="35" t="str"/>
      <x:c r="K7" s="35" t="str">
        <x:v>Trend reconstruction</x:v>
      </x:c>
      <x:c r="L7" s="35" t="str">
        <x:v>Public chart / published-anchor interpolation</x:v>
      </x:c>
      <x:c r="M7" s="35" t="str">
        <x:v>https://en.sse.net.cn/indices/scfinew.jsp</x:v>
      </x:c>
      <x:c r="N7" s="34" t="n">
        <x:v>2020</x:v>
      </x:c>
    </x:row>
    <x:row r="8">
      <x:c r="A8" s="28" t="n">
        <x:v>43922</x:v>
      </x:c>
      <x:c r="B8" s="30" t="n">
        <x:v>818</x:v>
      </x:c>
      <x:c r="C8" s="32" t="n">
        <x:f>B8/B7-1</x:f>
        <x:v>-0.08908685968819596</x:v>
      </x:c>
      <x:c r="D8" s="32"/>
      <x:c r="E8" s="30" t="n">
        <x:f>AVERAGE(B6:B8)</x:f>
        <x:v>863.6666666666666</x:v>
      </x:c>
      <x:c r="F8" s="30" t="n">
        <x:f>AVERAGE(B5:B8)</x:f>
        <x:v>903.4300000000001</x:v>
      </x:c>
      <x:c r="G8" s="32" t="n">
        <x:v>0.24636376669894672</x:v>
      </x:c>
      <x:c r="H8" s="32" t="n">
        <x:f>B8/MAX($B$5:B8)-1</x:f>
        <x:v>-0.2001720901126408</x:v>
      </x:c>
      <x:c r="I8" s="34" t="str">
        <x:f>IF(B8&lt;1000,"Low",IF(B8&lt;1800,"Normal",IF(B8&lt;3000,"Elevated",IF(B8&lt;4500,"High","Extreme"))))</x:f>
        <x:v>Low</x:v>
      </x:c>
      <x:c r="J8" s="35" t="str"/>
      <x:c r="K8" s="35" t="str">
        <x:v>Trend reconstruction</x:v>
      </x:c>
      <x:c r="L8" s="35" t="str">
        <x:v>Public chart / published-anchor interpolation</x:v>
      </x:c>
      <x:c r="M8" s="35" t="str">
        <x:v>https://en.sse.net.cn/indices/scfinew.jsp</x:v>
      </x:c>
      <x:c r="N8" s="34" t="n">
        <x:v>2020</x:v>
      </x:c>
    </x:row>
    <x:row r="9">
      <x:c r="A9" s="28" t="n">
        <x:v>43952</x:v>
      </x:c>
      <x:c r="B9" s="30" t="n">
        <x:v>837</x:v>
      </x:c>
      <x:c r="C9" s="32" t="n">
        <x:f>B9/B8-1</x:f>
        <x:v>0.023227383863080764</x:v>
      </x:c>
      <x:c r="D9" s="32"/>
      <x:c r="E9" s="30" t="n">
        <x:f>AVERAGE(B7:B9)</x:f>
        <x:v>851</x:v>
      </x:c>
      <x:c r="F9" s="30" t="n">
        <x:f>AVERAGE(B5:B9)</x:f>
        <x:v>890.144</x:v>
      </x:c>
      <x:c r="G9" s="32" t="n">
        <x:v>0.25434765626346084</x:v>
      </x:c>
      <x:c r="H9" s="32" t="n">
        <x:f>B9/MAX($B$5:B9)-1</x:f>
        <x:v>-0.18159418022528162</x:v>
      </x:c>
      <x:c r="I9" s="34" t="str">
        <x:f>IF(B9&lt;1000,"Low",IF(B9&lt;1800,"Normal",IF(B9&lt;3000,"Elevated",IF(B9&lt;4500,"High","Extreme"))))</x:f>
        <x:v>Low</x:v>
      </x:c>
      <x:c r="J9" s="35" t="str"/>
      <x:c r="K9" s="35" t="str">
        <x:v>Trend reconstruction</x:v>
      </x:c>
      <x:c r="L9" s="35" t="str">
        <x:v>Public chart / published-anchor interpolation</x:v>
      </x:c>
      <x:c r="M9" s="35" t="str">
        <x:v>https://en.sse.net.cn/indices/scfinew.jsp</x:v>
      </x:c>
      <x:c r="N9" s="34" t="n">
        <x:v>2020</x:v>
      </x:c>
    </x:row>
    <x:row r="10">
      <x:c r="A10" s="28" t="n">
        <x:v>43983</x:v>
      </x:c>
      <x:c r="B10" s="30" t="n">
        <x:v>1001</x:v>
      </x:c>
      <x:c r="C10" s="32" t="n">
        <x:f>B10/B9-1</x:f>
        <x:v>0.19593787335722812</x:v>
      </x:c>
      <x:c r="D10" s="32"/>
      <x:c r="E10" s="30" t="n">
        <x:f>AVERAGE(B8:B10)</x:f>
        <x:v>885.3333333333334</x:v>
      </x:c>
      <x:c r="F10" s="30" t="n">
        <x:f>AVERAGE(B5:B10)</x:f>
        <x:v>908.62</x:v>
      </x:c>
      <x:c r="G10" s="32" t="n">
        <x:v>0.40514460879642267</x:v>
      </x:c>
      <x:c r="H10" s="32" t="n">
        <x:f>B10/MAX($B$5:B10)-1</x:f>
        <x:v>-0.02123748435544437</x:v>
      </x:c>
      <x:c r="I10" s="34" t="str">
        <x:f>IF(B10&lt;1000,"Low",IF(B10&lt;1800,"Normal",IF(B10&lt;3000,"Elevated",IF(B10&lt;4500,"High","Extreme"))))</x:f>
        <x:v>Normal</x:v>
      </x:c>
      <x:c r="J10" s="35" t="str"/>
      <x:c r="K10" s="35" t="str">
        <x:v>Trend reconstruction</x:v>
      </x:c>
      <x:c r="L10" s="35" t="str">
        <x:v>Public chart / published-anchor interpolation</x:v>
      </x:c>
      <x:c r="M10" s="35" t="str">
        <x:v>https://en.sse.net.cn/indices/scfinew.jsp</x:v>
      </x:c>
      <x:c r="N10" s="34" t="n">
        <x:v>2020</x:v>
      </x:c>
    </x:row>
    <x:row r="11">
      <x:c r="A11" s="28" t="n">
        <x:v>44013</x:v>
      </x:c>
      <x:c r="B11" s="30" t="n">
        <x:v>1104</x:v>
      </x:c>
      <x:c r="C11" s="32" t="n">
        <x:f>B11/B10-1</x:f>
        <x:v>0.10289710289710285</x:v>
      </x:c>
      <x:c r="D11" s="32"/>
      <x:c r="E11" s="30" t="n">
        <x:f>AVERAGE(B9:B11)</x:f>
        <x:v>980.6666666666666</x:v>
      </x:c>
      <x:c r="F11" s="30" t="n">
        <x:f>AVERAGE(B5:B11)</x:f>
        <x:v>936.5314285714286</x:v>
      </x:c>
      <x:c r="G11" s="32" t="n">
        <x:v>0.39194755099507483</x:v>
      </x:c>
      <x:c r="H11" s="32" t="n">
        <x:f>B11/MAX($B$5:B11)-1</x:f>
        <x:v>0</x:v>
      </x:c>
      <x:c r="I11" s="34" t="str">
        <x:f>IF(B11&lt;1000,"Low",IF(B11&lt;1800,"Normal",IF(B11&lt;3000,"Elevated",IF(B11&lt;4500,"High","Extreme"))))</x:f>
        <x:v>Normal</x:v>
      </x:c>
      <x:c r="J11" s="35" t="str"/>
      <x:c r="K11" s="35" t="str">
        <x:v>Trend reconstruction</x:v>
      </x:c>
      <x:c r="L11" s="35" t="str">
        <x:v>Public chart / published-anchor interpolation</x:v>
      </x:c>
      <x:c r="M11" s="35" t="str">
        <x:v>https://en.sse.net.cn/indices/scfinew.jsp</x:v>
      </x:c>
      <x:c r="N11" s="34" t="n">
        <x:v>2020</x:v>
      </x:c>
    </x:row>
    <x:row r="12">
      <x:c r="A12" s="28" t="n">
        <x:v>44044</x:v>
      </x:c>
      <x:c r="B12" s="30" t="n">
        <x:v>1264</x:v>
      </x:c>
      <x:c r="C12" s="32" t="n">
        <x:f>B12/B11-1</x:f>
        <x:v>0.14492753623188404</x:v>
      </x:c>
      <x:c r="D12" s="32"/>
      <x:c r="E12" s="30" t="n">
        <x:f>AVERAGE(B10:B12)</x:f>
        <x:v>1123</x:v>
      </x:c>
      <x:c r="F12" s="30" t="n">
        <x:f>AVERAGE(B5:B12)</x:f>
        <x:v>977.465</x:v>
      </x:c>
      <x:c r="G12" s="32" t="n">
        <x:v>0.39360793567007435</x:v>
      </x:c>
      <x:c r="H12" s="32" t="n">
        <x:f>B12/MAX($B$5:B12)-1</x:f>
        <x:v>0</x:v>
      </x:c>
      <x:c r="I12" s="34" t="str">
        <x:f>IF(B12&lt;1000,"Low",IF(B12&lt;1800,"Normal",IF(B12&lt;3000,"Elevated",IF(B12&lt;4500,"High","Extreme"))))</x:f>
        <x:v>Normal</x:v>
      </x:c>
      <x:c r="J12" s="35" t="str"/>
      <x:c r="K12" s="35" t="str">
        <x:v>Trend reconstruction</x:v>
      </x:c>
      <x:c r="L12" s="35" t="str">
        <x:v>Public chart / published-anchor interpolation</x:v>
      </x:c>
      <x:c r="M12" s="35" t="str">
        <x:v>https://en.sse.net.cn/indices/scfinew.jsp</x:v>
      </x:c>
      <x:c r="N12" s="34" t="n">
        <x:v>2020</x:v>
      </x:c>
    </x:row>
    <x:row r="13">
      <x:c r="A13" s="28" t="n">
        <x:v>44075</x:v>
      </x:c>
      <x:c r="B13" s="30" t="n">
        <x:v>1434</x:v>
      </x:c>
      <x:c r="C13" s="32" t="n">
        <x:f>B13/B12-1</x:f>
        <x:v>0.134493670886076</x:v>
      </x:c>
      <x:c r="D13" s="32"/>
      <x:c r="E13" s="30" t="n">
        <x:f>AVERAGE(B11:B13)</x:f>
        <x:v>1267.3333333333333</x:v>
      </x:c>
      <x:c r="F13" s="30" t="n">
        <x:f>AVERAGE(B5:B13)</x:f>
        <x:v>1028.1911111111112</x:v>
      </x:c>
      <x:c r="G13" s="32" t="n">
        <x:v>0.38471966439962474</x:v>
      </x:c>
      <x:c r="H13" s="32" t="n">
        <x:f>B13/MAX($B$5:B13)-1</x:f>
        <x:v>0</x:v>
      </x:c>
      <x:c r="I13" s="34" t="str">
        <x:f>IF(B13&lt;1000,"Low",IF(B13&lt;1800,"Normal",IF(B13&lt;3000,"Elevated",IF(B13&lt;4500,"High","Extreme"))))</x:f>
        <x:v>Normal</x:v>
      </x:c>
      <x:c r="J13" s="35" t="str"/>
      <x:c r="K13" s="35" t="str">
        <x:v>Trend reconstruction</x:v>
      </x:c>
      <x:c r="L13" s="35" t="str">
        <x:v>Public chart / published-anchor interpolation</x:v>
      </x:c>
      <x:c r="M13" s="35" t="str">
        <x:v>https://en.sse.net.cn/indices/scfinew.jsp</x:v>
      </x:c>
      <x:c r="N13" s="34" t="n">
        <x:v>2020</x:v>
      </x:c>
    </x:row>
    <x:row r="14">
      <x:c r="A14" s="28" t="n">
        <x:v>44105</x:v>
      </x:c>
      <x:c r="B14" s="30" t="n">
        <x:v>1529</x:v>
      </x:c>
      <x:c r="C14" s="32" t="n">
        <x:f>B14/B13-1</x:f>
        <x:v>0.0662482566248257</x:v>
      </x:c>
      <x:c r="D14" s="32"/>
      <x:c r="E14" s="30" t="n">
        <x:f>AVERAGE(B12:B14)</x:f>
        <x:v>1409</x:v>
      </x:c>
      <x:c r="F14" s="30" t="n">
        <x:f>AVERAGE(B5:B14)</x:f>
        <x:v>1078.2720000000002</x:v>
      </x:c>
      <x:c r="G14" s="32" t="n">
        <x:v>0.36318724016796455</x:v>
      </x:c>
      <x:c r="H14" s="32" t="n">
        <x:f>B14/MAX($B$5:B14)-1</x:f>
        <x:v>0</x:v>
      </x:c>
      <x:c r="I14" s="34" t="str">
        <x:f>IF(B14&lt;1000,"Low",IF(B14&lt;1800,"Normal",IF(B14&lt;3000,"Elevated",IF(B14&lt;4500,"High","Extreme"))))</x:f>
        <x:v>Normal</x:v>
      </x:c>
      <x:c r="J14" s="35" t="str"/>
      <x:c r="K14" s="35" t="str">
        <x:v>Trend reconstruction</x:v>
      </x:c>
      <x:c r="L14" s="35" t="str">
        <x:v>Public chart / published-anchor interpolation</x:v>
      </x:c>
      <x:c r="M14" s="35" t="str">
        <x:v>https://en.sse.net.cn/indices/scfinew.jsp</x:v>
      </x:c>
      <x:c r="N14" s="34" t="n">
        <x:v>2020</x:v>
      </x:c>
    </x:row>
    <x:row r="15">
      <x:c r="A15" s="28" t="n">
        <x:v>44136</x:v>
      </x:c>
      <x:c r="B15" s="30" t="n">
        <x:v>1890</x:v>
      </x:c>
      <x:c r="C15" s="32" t="n">
        <x:f>B15/B14-1</x:f>
        <x:v>0.23610202746893405</x:v>
      </x:c>
      <x:c r="D15" s="32"/>
      <x:c r="E15" s="30" t="n">
        <x:f>AVERAGE(B13:B15)</x:f>
        <x:v>1617.6666666666667</x:v>
      </x:c>
      <x:c r="F15" s="30" t="n">
        <x:f>AVERAGE(B5:B15)</x:f>
        <x:v>1152.0654545454547</x:v>
      </x:c>
      <x:c r="G15" s="32" t="n">
        <x:v>0.3945275528146366</x:v>
      </x:c>
      <x:c r="H15" s="32" t="n">
        <x:f>B15/MAX($B$5:B15)-1</x:f>
        <x:v>0</x:v>
      </x:c>
      <x:c r="I15" s="34" t="str">
        <x:f>IF(B15&lt;1000,"Low",IF(B15&lt;1800,"Normal",IF(B15&lt;3000,"Elevated",IF(B15&lt;4500,"High","Extreme"))))</x:f>
        <x:v>Elevated</x:v>
      </x:c>
      <x:c r="J15" s="35" t="str">
        <x:v>Goods-demand / capacity squeeze</x:v>
      </x:c>
      <x:c r="K15" s="35" t="str">
        <x:v>Trend reconstruction</x:v>
      </x:c>
      <x:c r="L15" s="35" t="str">
        <x:v>Public chart / published-anchor interpolation</x:v>
      </x:c>
      <x:c r="M15" s="35" t="str">
        <x:v>https://en.sse.net.cn/indices/scfinew.jsp</x:v>
      </x:c>
      <x:c r="N15" s="34" t="n">
        <x:v>2020</x:v>
      </x:c>
    </x:row>
    <x:row r="16">
      <x:c r="A16" s="28" t="n">
        <x:v>44166</x:v>
      </x:c>
      <x:c r="B16" s="30" t="n">
        <x:v>2783</x:v>
      </x:c>
      <x:c r="C16" s="32" t="n">
        <x:f>B16/B15-1</x:f>
        <x:v>0.4724867724867725</x:v>
      </x:c>
      <x:c r="D16" s="32"/>
      <x:c r="E16" s="30" t="n">
        <x:f>AVERAGE(B14:B16)</x:f>
        <x:v>2067.3333333333335</x:v>
      </x:c>
      <x:c r="F16" s="30" t="n">
        <x:f>AVERAGE(B5:B16)</x:f>
        <x:v>1287.9766666666667</x:v>
      </x:c>
      <x:c r="G16" s="32" t="n">
        <x:v>0.5499369054360348</x:v>
      </x:c>
      <x:c r="H16" s="32" t="n">
        <x:f>B16/MAX($B$5:B16)-1</x:f>
        <x:v>0</x:v>
      </x:c>
      <x:c r="I16" s="34" t="str">
        <x:f>IF(B16&lt;1000,"Low",IF(B16&lt;1800,"Normal",IF(B16&lt;3000,"Elevated",IF(B16&lt;4500,"High","Extreme"))))</x:f>
        <x:v>Elevated</x:v>
      </x:c>
      <x:c r="J16" s="35" t="str"/>
      <x:c r="K16" s="35" t="str">
        <x:v>Trend reconstruction</x:v>
      </x:c>
      <x:c r="L16" s="35" t="str">
        <x:v>Public chart / published-anchor interpolation</x:v>
      </x:c>
      <x:c r="M16" s="35" t="str">
        <x:v>https://en.sse.net.cn/indices/scfinew.jsp</x:v>
      </x:c>
      <x:c r="N16" s="34" t="n">
        <x:v>2020</x:v>
      </x:c>
    </x:row>
    <x:row r="17">
      <x:c r="A17" s="28" t="n">
        <x:v>44197</x:v>
      </x:c>
      <x:c r="B17" s="30" t="n">
        <x:v>2861</x:v>
      </x:c>
      <x:c r="C17" s="32" t="n">
        <x:f>B17/B16-1</x:f>
        <x:v>0.028027308659719807</x:v>
      </x:c>
      <x:c r="D17" s="32" t="n">
        <x:f>B17/B5-1</x:f>
        <x:v>1.7974421151439297</x:v>
      </x:c>
      <x:c r="E17" s="30" t="n">
        <x:f>AVERAGE(B15:B17)</x:f>
        <x:v>2511.3333333333335</x:v>
      </x:c>
      <x:c r="F17" s="30" t="n">
        <x:f>AVERAGE(B6:B17)</x:f>
        <x:v>1441.1666666666667</x:v>
      </x:c>
      <x:c r="G17" s="32" t="n">
        <x:v>0.5318282222089724</x:v>
      </x:c>
      <x:c r="H17" s="32" t="n">
        <x:f>B17/MAX($B$5:B17)-1</x:f>
        <x:v>0</x:v>
      </x:c>
      <x:c r="I17" s="34" t="str">
        <x:f>IF(B17&lt;1000,"Low",IF(B17&lt;1800,"Normal",IF(B17&lt;3000,"Elevated",IF(B17&lt;4500,"High","Extreme"))))</x:f>
        <x:v>Elevated</x:v>
      </x:c>
      <x:c r="J17" s="35" t="str"/>
      <x:c r="K17" s="35" t="str">
        <x:v>Trend reconstruction</x:v>
      </x:c>
      <x:c r="L17" s="35" t="str">
        <x:v>Public chart / published-anchor interpolation</x:v>
      </x:c>
      <x:c r="M17" s="35" t="str">
        <x:v>https://en.sse.net.cn/indices/scfinew.jsp</x:v>
      </x:c>
      <x:c r="N17" s="34" t="n">
        <x:v>2021</x:v>
      </x:c>
    </x:row>
    <x:row r="18">
      <x:c r="A18" s="28" t="n">
        <x:v>44228</x:v>
      </x:c>
      <x:c r="B18" s="30" t="n">
        <x:v>2775</x:v>
      </x:c>
      <x:c r="C18" s="32" t="n">
        <x:f>B18/B17-1</x:f>
        <x:v>-0.030059419783292518</x:v>
      </x:c>
      <x:c r="D18" s="32" t="n">
        <x:f>B18/B6-1</x:f>
        <x:v>2.1714285714285713</x:v>
      </x:c>
      <x:c r="E18" s="30" t="n">
        <x:f>AVERAGE(B16:B18)</x:f>
        <x:v>2806.3333333333335</x:v>
      </x:c>
      <x:c r="F18" s="30" t="n">
        <x:f>AVERAGE(B7:B18)</x:f>
        <x:v>1599.5</x:v>
      </x:c>
      <x:c r="G18" s="32" t="n">
        <x:v>0.48884712255487184</x:v>
      </x:c>
      <x:c r="H18" s="32" t="n">
        <x:f>B18/MAX($B$5:B18)-1</x:f>
        <x:v>-0.030059419783292518</x:v>
      </x:c>
      <x:c r="I18" s="34" t="str">
        <x:f>IF(B18&lt;1000,"Low",IF(B18&lt;1800,"Normal",IF(B18&lt;3000,"Elevated",IF(B18&lt;4500,"High","Extreme"))))</x:f>
        <x:v>Elevated</x:v>
      </x:c>
      <x:c r="J18" s="35" t="str"/>
      <x:c r="K18" s="35" t="str">
        <x:v>Trend reconstruction</x:v>
      </x:c>
      <x:c r="L18" s="35" t="str">
        <x:v>Public chart / published-anchor interpolation</x:v>
      </x:c>
      <x:c r="M18" s="35" t="str">
        <x:v>https://en.sse.net.cn/indices/scfinew.jsp</x:v>
      </x:c>
      <x:c r="N18" s="34" t="n">
        <x:v>2021</x:v>
      </x:c>
    </x:row>
    <x:row r="19">
      <x:c r="A19" s="28" t="n">
        <x:v>44256</x:v>
      </x:c>
      <x:c r="B19" s="30" t="n">
        <x:v>2583</x:v>
      </x:c>
      <x:c r="C19" s="32" t="n">
        <x:f>B19/B18-1</x:f>
        <x:v>-0.06918918918918915</x:v>
      </x:c>
      <x:c r="D19" s="32" t="n">
        <x:f>B19/B7-1</x:f>
        <x:v>1.876391982182628</x:v>
      </x:c>
      <x:c r="E19" s="30" t="n">
        <x:f>AVERAGE(B17:B19)</x:f>
        <x:v>2739.6666666666665</x:v>
      </x:c>
      <x:c r="F19" s="30" t="n">
        <x:f>AVERAGE(B8:B19)</x:f>
        <x:v>1739.9166666666667</x:v>
      </x:c>
      <x:c r="G19" s="32" t="n">
        <x:v>0.5130079088629682</x:v>
      </x:c>
      <x:c r="H19" s="32" t="n">
        <x:f>B19/MAX($B$5:B19)-1</x:f>
        <x:v>-0.0971688220901783</x:v>
      </x:c>
      <x:c r="I19" s="34" t="str">
        <x:f>IF(B19&lt;1000,"Low",IF(B19&lt;1800,"Normal",IF(B19&lt;3000,"Elevated",IF(B19&lt;4500,"High","Extreme"))))</x:f>
        <x:v>Elevated</x:v>
      </x:c>
      <x:c r="J19" s="35" t="str">
        <x:v>Suez blockage and congestion</x:v>
      </x:c>
      <x:c r="K19" s="35" t="str">
        <x:v>Trend reconstruction</x:v>
      </x:c>
      <x:c r="L19" s="35" t="str">
        <x:v>Public chart / published-anchor interpolation</x:v>
      </x:c>
      <x:c r="M19" s="35" t="str">
        <x:v>https://en.sse.net.cn/indices/scfinew.jsp</x:v>
      </x:c>
      <x:c r="N19" s="34" t="n">
        <x:v>2021</x:v>
      </x:c>
    </x:row>
    <x:row r="20">
      <x:c r="A20" s="28" t="n">
        <x:v>44287</x:v>
      </x:c>
      <x:c r="B20" s="30" t="n">
        <x:v>2640</x:v>
      </x:c>
      <x:c r="C20" s="32" t="n">
        <x:f>B20/B19-1</x:f>
        <x:v>0.022067363530778206</x:v>
      </x:c>
      <x:c r="D20" s="32" t="n">
        <x:f>B20/B8-1</x:f>
        <x:v>2.227383863080685</x:v>
      </x:c>
      <x:c r="E20" s="30" t="n">
        <x:f>AVERAGE(B18:B20)</x:f>
        <x:v>2666</x:v>
      </x:c>
      <x:c r="F20" s="30" t="n">
        <x:f>AVERAGE(B9:B20)</x:f>
        <x:v>1891.75</x:v>
      </x:c>
      <x:c r="G20" s="32" t="n">
        <x:v>0.48184076477792537</x:v>
      </x:c>
      <x:c r="H20" s="32" t="n">
        <x:f>B20/MAX($B$5:B20)-1</x:f>
        <x:v>-0.07724571828032156</x:v>
      </x:c>
      <x:c r="I20" s="34" t="str">
        <x:f>IF(B20&lt;1000,"Low",IF(B20&lt;1800,"Normal",IF(B20&lt;3000,"Elevated",IF(B20&lt;4500,"High","Extreme"))))</x:f>
        <x:v>Elevated</x:v>
      </x:c>
      <x:c r="J20" s="35" t="str"/>
      <x:c r="K20" s="35" t="str">
        <x:v>Trend reconstruction</x:v>
      </x:c>
      <x:c r="L20" s="35" t="str">
        <x:v>Public chart / published-anchor interpolation</x:v>
      </x:c>
      <x:c r="M20" s="35" t="str">
        <x:v>https://en.sse.net.cn/indices/scfinew.jsp</x:v>
      </x:c>
      <x:c r="N20" s="34" t="n">
        <x:v>2021</x:v>
      </x:c>
    </x:row>
    <x:row r="21">
      <x:c r="A21" s="28" t="n">
        <x:v>44317</x:v>
      </x:c>
      <x:c r="B21" s="30" t="n">
        <x:v>3343</x:v>
      </x:c>
      <x:c r="C21" s="32" t="n">
        <x:f>B21/B20-1</x:f>
        <x:v>0.26628787878787885</x:v>
      </x:c>
      <x:c r="D21" s="32" t="n">
        <x:f>B21/B9-1</x:f>
        <x:v>2.994026284348865</x:v>
      </x:c>
      <x:c r="E21" s="30" t="n">
        <x:f>AVERAGE(B19:B21)</x:f>
        <x:v>2855.3333333333335</x:v>
      </x:c>
      <x:c r="F21" s="30" t="n">
        <x:f>AVERAGE(B10:B21)</x:f>
        <x:v>2100.5833333333335</x:v>
      </x:c>
      <x:c r="G21" s="32" t="n">
        <x:v>0.4938151610817712</x:v>
      </x:c>
      <x:c r="H21" s="32" t="n">
        <x:f>B21/MAX($B$5:B21)-1</x:f>
        <x:v>0</x:v>
      </x:c>
      <x:c r="I21" s="34" t="str">
        <x:f>IF(B21&lt;1000,"Low",IF(B21&lt;1800,"Normal",IF(B21&lt;3000,"Elevated",IF(B21&lt;4500,"High","Extreme"))))</x:f>
        <x:v>High</x:v>
      </x:c>
      <x:c r="J21" s="35" t="str"/>
      <x:c r="K21" s="35" t="str">
        <x:v>Trend reconstruction</x:v>
      </x:c>
      <x:c r="L21" s="35" t="str">
        <x:v>Public chart / published-anchor interpolation</x:v>
      </x:c>
      <x:c r="M21" s="35" t="str">
        <x:v>https://en.sse.net.cn/indices/scfinew.jsp</x:v>
      </x:c>
      <x:c r="N21" s="34" t="n">
        <x:v>2021</x:v>
      </x:c>
    </x:row>
    <x:row r="22">
      <x:c r="A22" s="28" t="n">
        <x:v>44348</x:v>
      </x:c>
      <x:c r="B22" s="30" t="n">
        <x:v>3785</x:v>
      </x:c>
      <x:c r="C22" s="32" t="n">
        <x:f>B22/B21-1</x:f>
        <x:v>0.13221657194136993</x:v>
      </x:c>
      <x:c r="D22" s="32" t="n">
        <x:f>B22/B10-1</x:f>
        <x:v>2.781218781218781</x:v>
      </x:c>
      <x:c r="E22" s="30" t="n">
        <x:f>AVERAGE(B20:B22)</x:f>
        <x:v>3256</x:v>
      </x:c>
      <x:c r="F22" s="30" t="n">
        <x:f>AVERAGE(B11:B22)</x:f>
        <x:v>2332.5833333333335</x:v>
      </x:c>
      <x:c r="G22" s="32" t="n">
        <x:v>0.48916333798848816</x:v>
      </x:c>
      <x:c r="H22" s="32" t="n">
        <x:f>B22/MAX($B$5:B22)-1</x:f>
        <x:v>0</x:v>
      </x:c>
      <x:c r="I22" s="34" t="str">
        <x:f>IF(B22&lt;1000,"Low",IF(B22&lt;1800,"Normal",IF(B22&lt;3000,"Elevated",IF(B22&lt;4500,"High","Extreme"))))</x:f>
        <x:v>High</x:v>
      </x:c>
      <x:c r="J22" s="35" t="str"/>
      <x:c r="K22" s="35" t="str">
        <x:v>Trend reconstruction</x:v>
      </x:c>
      <x:c r="L22" s="35" t="str">
        <x:v>Public chart / published-anchor interpolation</x:v>
      </x:c>
      <x:c r="M22" s="35" t="str">
        <x:v>https://en.sse.net.cn/indices/scfinew.jsp</x:v>
      </x:c>
      <x:c r="N22" s="34" t="n">
        <x:v>2021</x:v>
      </x:c>
    </x:row>
    <x:row r="23">
      <x:c r="A23" s="28" t="n">
        <x:v>44378</x:v>
      </x:c>
      <x:c r="B23" s="30" t="n">
        <x:v>4196</x:v>
      </x:c>
      <x:c r="C23" s="32" t="n">
        <x:f>B23/B22-1</x:f>
        <x:v>0.10858652575957728</x:v>
      </x:c>
      <x:c r="D23" s="32" t="n">
        <x:f>B23/B11-1</x:f>
        <x:v>2.800724637681159</x:v>
      </x:c>
      <x:c r="E23" s="30" t="n">
        <x:f>AVERAGE(B21:B23)</x:f>
        <x:v>3774.6666666666665</x:v>
      </x:c>
      <x:c r="F23" s="30" t="n">
        <x:f>AVERAGE(B12:B23)</x:f>
        <x:v>2590.25</x:v>
      </x:c>
      <x:c r="G23" s="32" t="n">
        <x:v>0.488930228897451</x:v>
      </x:c>
      <x:c r="H23" s="32" t="n">
        <x:f>B23/MAX($B$5:B23)-1</x:f>
        <x:v>0</x:v>
      </x:c>
      <x:c r="I23" s="34" t="str">
        <x:f>IF(B23&lt;1000,"Low",IF(B23&lt;1800,"Normal",IF(B23&lt;3000,"Elevated",IF(B23&lt;4500,"High","Extreme"))))</x:f>
        <x:v>High</x:v>
      </x:c>
      <x:c r="J23" s="35" t="str"/>
      <x:c r="K23" s="35" t="str">
        <x:v>Trend reconstruction</x:v>
      </x:c>
      <x:c r="L23" s="35" t="str">
        <x:v>Public chart / published-anchor interpolation</x:v>
      </x:c>
      <x:c r="M23" s="35" t="str">
        <x:v>https://en.sse.net.cn/indices/scfinew.jsp</x:v>
      </x:c>
      <x:c r="N23" s="34" t="n">
        <x:v>2021</x:v>
      </x:c>
    </x:row>
    <x:row r="24">
      <x:c r="A24" s="28" t="n">
        <x:v>44409</x:v>
      </x:c>
      <x:c r="B24" s="30" t="n">
        <x:v>4350</x:v>
      </x:c>
      <x:c r="C24" s="32" t="n">
        <x:f>B24/B23-1</x:f>
        <x:v>0.0367016205910391</x:v>
      </x:c>
      <x:c r="D24" s="32" t="n">
        <x:f>B24/B12-1</x:f>
        <x:v>2.4414556962025316</x:v>
      </x:c>
      <x:c r="E24" s="30" t="n">
        <x:f>AVERAGE(B22:B24)</x:f>
        <x:v>4110.333333333333</x:v>
      </x:c>
      <x:c r="F24" s="30" t="n">
        <x:f>AVERAGE(B13:B24)</x:f>
        <x:v>2847.4166666666665</x:v>
      </x:c>
      <x:c r="G24" s="32" t="n">
        <x:v>0.4956774856166639</x:v>
      </x:c>
      <x:c r="H24" s="32" t="n">
        <x:f>B24/MAX($B$5:B24)-1</x:f>
        <x:v>0</x:v>
      </x:c>
      <x:c r="I24" s="34" t="str">
        <x:f>IF(B24&lt;1000,"Low",IF(B24&lt;1800,"Normal",IF(B24&lt;3000,"Elevated",IF(B24&lt;4500,"High","Extreme"))))</x:f>
        <x:v>High</x:v>
      </x:c>
      <x:c r="J24" s="35" t="str"/>
      <x:c r="K24" s="35" t="str">
        <x:v>Trend reconstruction</x:v>
      </x:c>
      <x:c r="L24" s="35" t="str">
        <x:v>Public chart / published-anchor interpolation</x:v>
      </x:c>
      <x:c r="M24" s="35" t="str">
        <x:v>https://en.sse.net.cn/indices/scfinew.jsp</x:v>
      </x:c>
      <x:c r="N24" s="34" t="n">
        <x:v>2021</x:v>
      </x:c>
    </x:row>
    <x:row r="25">
      <x:c r="A25" s="28" t="n">
        <x:v>44440</x:v>
      </x:c>
      <x:c r="B25" s="30" t="n">
        <x:v>4614</x:v>
      </x:c>
      <x:c r="C25" s="32" t="n">
        <x:f>B25/B24-1</x:f>
        <x:v>0.06068965517241387</x:v>
      </x:c>
      <x:c r="D25" s="32" t="n">
        <x:f>B25/B13-1</x:f>
        <x:v>2.217573221757322</x:v>
      </x:c>
      <x:c r="E25" s="30" t="n">
        <x:f>AVERAGE(B23:B25)</x:f>
        <x:v>4386.666666666667</x:v>
      </x:c>
      <x:c r="F25" s="30" t="n">
        <x:f>AVERAGE(B14:B25)</x:f>
        <x:v>3112.4166666666665</x:v>
      </x:c>
      <x:c r="G25" s="32" t="n">
        <x:v>0.49810310199313385</x:v>
      </x:c>
      <x:c r="H25" s="32" t="n">
        <x:f>B25/MAX($B$5:B25)-1</x:f>
        <x:v>0</x:v>
      </x:c>
      <x:c r="I25" s="34" t="str">
        <x:f>IF(B25&lt;1000,"Low",IF(B25&lt;1800,"Normal",IF(B25&lt;3000,"Elevated",IF(B25&lt;4500,"High","Extreme"))))</x:f>
        <x:v>Extreme</x:v>
      </x:c>
      <x:c r="J25" s="35" t="str"/>
      <x:c r="K25" s="35" t="str">
        <x:v>Trend reconstruction</x:v>
      </x:c>
      <x:c r="L25" s="35" t="str">
        <x:v>Public chart / published-anchor interpolation</x:v>
      </x:c>
      <x:c r="M25" s="35" t="str">
        <x:v>https://en.sse.net.cn/indices/scfinew.jsp</x:v>
      </x:c>
      <x:c r="N25" s="34" t="n">
        <x:v>2021</x:v>
      </x:c>
    </x:row>
    <x:row r="26">
      <x:c r="A26" s="28" t="n">
        <x:v>44470</x:v>
      </x:c>
      <x:c r="B26" s="30" t="n">
        <x:v>4605</x:v>
      </x:c>
      <x:c r="C26" s="32" t="n">
        <x:f>B26/B25-1</x:f>
        <x:v>-0.0019505851755526882</x:v>
      </x:c>
      <x:c r="D26" s="32" t="n">
        <x:f>B26/B14-1</x:f>
        <x:v>2.011772400261609</x:v>
      </x:c>
      <x:c r="E26" s="30" t="n">
        <x:f>AVERAGE(B24:B26)</x:f>
        <x:v>4523</x:v>
      </x:c>
      <x:c r="F26" s="30" t="n">
        <x:f>AVERAGE(B15:B26)</x:f>
        <x:v>3368.75</x:v>
      </x:c>
      <x:c r="G26" s="32" t="n">
        <x:v>0.5083830966434439</x:v>
      </x:c>
      <x:c r="H26" s="32" t="n">
        <x:f>B26/MAX($B$5:B26)-1</x:f>
        <x:v>-0.0019505851755526882</x:v>
      </x:c>
      <x:c r="I26" s="34" t="str">
        <x:f>IF(B26&lt;1000,"Low",IF(B26&lt;1800,"Normal",IF(B26&lt;3000,"Elevated",IF(B26&lt;4500,"High","Extreme"))))</x:f>
        <x:v>Extreme</x:v>
      </x:c>
      <x:c r="J26" s="35" t="str"/>
      <x:c r="K26" s="35" t="str">
        <x:v>Trend reconstruction</x:v>
      </x:c>
      <x:c r="L26" s="35" t="str">
        <x:v>Public chart / published-anchor interpolation</x:v>
      </x:c>
      <x:c r="M26" s="35" t="str">
        <x:v>https://en.sse.net.cn/indices/scfinew.jsp</x:v>
      </x:c>
      <x:c r="N26" s="34" t="n">
        <x:v>2021</x:v>
      </x:c>
    </x:row>
    <x:row r="27">
      <x:c r="A27" s="28" t="n">
        <x:v>44501</x:v>
      </x:c>
      <x:c r="B27" s="30" t="n">
        <x:v>4705</x:v>
      </x:c>
      <x:c r="C27" s="32" t="n">
        <x:f>B27/B26-1</x:f>
        <x:v>0.021715526601520097</x:v>
      </x:c>
      <x:c r="D27" s="32" t="n">
        <x:f>B27/B15-1</x:f>
        <x:v>1.4894179894179893</x:v>
      </x:c>
      <x:c r="E27" s="30" t="n">
        <x:f>AVERAGE(B25:B27)</x:f>
        <x:v>4641.333333333333</x:v>
      </x:c>
      <x:c r="F27" s="30" t="n">
        <x:f>AVERAGE(B16:B27)</x:f>
        <x:v>3603.3333333333335</x:v>
      </x:c>
      <x:c r="G27" s="32" t="n">
        <x:v>0.4944108313261355</x:v>
      </x:c>
      <x:c r="H27" s="32" t="n">
        <x:f>B27/MAX($B$5:B27)-1</x:f>
        <x:v>0</x:v>
      </x:c>
      <x:c r="I27" s="34" t="str">
        <x:f>IF(B27&lt;1000,"Low",IF(B27&lt;1800,"Normal",IF(B27&lt;3000,"Elevated",IF(B27&lt;4500,"High","Extreme"))))</x:f>
        <x:v>Extreme</x:v>
      </x:c>
      <x:c r="J27" s="35" t="str"/>
      <x:c r="K27" s="35" t="str">
        <x:v>Trend reconstruction</x:v>
      </x:c>
      <x:c r="L27" s="35" t="str">
        <x:v>Public chart / published-anchor interpolation</x:v>
      </x:c>
      <x:c r="M27" s="35" t="str">
        <x:v>https://en.sse.net.cn/indices/scfinew.jsp</x:v>
      </x:c>
      <x:c r="N27" s="34" t="n">
        <x:v>2021</x:v>
      </x:c>
    </x:row>
    <x:row r="28">
      <x:c r="A28" s="28" t="n">
        <x:v>44531</x:v>
      </x:c>
      <x:c r="B28" s="30" t="n">
        <x:v>5046</x:v>
      </x:c>
      <x:c r="C28" s="32" t="n">
        <x:f>B28/B27-1</x:f>
        <x:v>0.07247608926673754</x:v>
      </x:c>
      <x:c r="D28" s="32" t="n">
        <x:f>B28/B16-1</x:f>
        <x:v>0.8131512756018684</x:v>
      </x:c>
      <x:c r="E28" s="30" t="n">
        <x:f>AVERAGE(B26:B28)</x:f>
        <x:v>4785.333333333333</x:v>
      </x:c>
      <x:c r="F28" s="30" t="n">
        <x:f>AVERAGE(B17:B28)</x:f>
        <x:v>3791.9166666666665</x:v>
      </x:c>
      <x:c r="G28" s="32" t="n">
        <x:v>0.288023595900953</x:v>
      </x:c>
      <x:c r="H28" s="32" t="n">
        <x:f>B28/MAX($B$5:B28)-1</x:f>
        <x:v>0</x:v>
      </x:c>
      <x:c r="I28" s="34" t="str">
        <x:f>IF(B28&lt;1000,"Low",IF(B28&lt;1800,"Normal",IF(B28&lt;3000,"Elevated",IF(B28&lt;4500,"High","Extreme"))))</x:f>
        <x:v>Extreme</x:v>
      </x:c>
      <x:c r="J28" s="35" t="str"/>
      <x:c r="K28" s="35" t="str">
        <x:v>Trend reconstruction</x:v>
      </x:c>
      <x:c r="L28" s="35" t="str">
        <x:v>Public chart / published-anchor interpolation</x:v>
      </x:c>
      <x:c r="M28" s="35" t="str">
        <x:v>https://en.sse.net.cn/indices/scfinew.jsp</x:v>
      </x:c>
      <x:c r="N28" s="34" t="n">
        <x:v>2021</x:v>
      </x:c>
    </x:row>
    <x:row r="29">
      <x:c r="A29" s="28" t="n">
        <x:v>44562</x:v>
      </x:c>
      <x:c r="B29" s="30" t="n">
        <x:v>5109.6</x:v>
      </x:c>
      <x:c r="C29" s="32" t="n">
        <x:f>B29/B28-1</x:f>
        <x:v>0.012604042806183102</x:v>
      </x:c>
      <x:c r="D29" s="32" t="n">
        <x:f>B29/B17-1</x:f>
        <x:v>0.7859489688919958</x:v>
      </x:c>
      <x:c r="E29" s="30" t="n">
        <x:f>AVERAGE(B27:B29)</x:f>
        <x:v>4953.533333333334</x:v>
      </x:c>
      <x:c r="F29" s="30" t="n">
        <x:f>AVERAGE(B18:B29)</x:f>
        <x:v>3979.2999999999997</x:v>
      </x:c>
      <x:c r="G29" s="32" t="n">
        <x:v>0.28978562121566365</x:v>
      </x:c>
      <x:c r="H29" s="32" t="n">
        <x:f>B29/MAX($B$5:B29)-1</x:f>
        <x:v>0</x:v>
      </x:c>
      <x:c r="I29" s="34" t="str">
        <x:f>IF(B29&lt;1000,"Low",IF(B29&lt;1800,"Normal",IF(B29&lt;3000,"Elevated",IF(B29&lt;4500,"High","Extreme"))))</x:f>
        <x:v>Extreme</x:v>
      </x:c>
      <x:c r="J29" s="35" t="str">
        <x:v>Historical peak</x:v>
      </x:c>
      <x:c r="K29" s="35" t="str">
        <x:v>Published historical high</x:v>
      </x:c>
      <x:c r="L29" s="35" t="str">
        <x:v>Trading Economics</x:v>
      </x:c>
      <x:c r="M29" s="35" t="str">
        <x:v>https://tradingeconomics.com/commodity/containerized-freight-index</x:v>
      </x:c>
      <x:c r="N29" s="34" t="n">
        <x:v>2022</x:v>
      </x:c>
    </x:row>
    <x:row r="30">
      <x:c r="A30" s="28" t="n">
        <x:v>44593</x:v>
      </x:c>
      <x:c r="B30" s="30" t="n">
        <x:v>4945</x:v>
      </x:c>
      <x:c r="C30" s="32" t="n">
        <x:f>B30/B29-1</x:f>
        <x:v>-0.03221387192735248</x:v>
      </x:c>
      <x:c r="D30" s="32" t="n">
        <x:f>B30/B18-1</x:f>
        <x:v>0.781981981981982</x:v>
      </x:c>
      <x:c r="E30" s="30" t="n">
        <x:f>AVERAGE(B28:B30)</x:f>
        <x:v>5033.533333333334</x:v>
      </x:c>
      <x:c r="F30" s="30" t="n">
        <x:f>AVERAGE(B19:B30)</x:f>
        <x:v>4160.133333333333</x:v>
      </x:c>
      <x:c r="G30" s="32" t="n">
        <x:v>0.2904074247751516</x:v>
      </x:c>
      <x:c r="H30" s="32" t="n">
        <x:f>B30/MAX($B$5:B30)-1</x:f>
        <x:v>-0.03221387192735248</x:v>
      </x:c>
      <x:c r="I30" s="34" t="str">
        <x:f>IF(B30&lt;1000,"Low",IF(B30&lt;1800,"Normal",IF(B30&lt;3000,"Elevated",IF(B30&lt;4500,"High","Extreme"))))</x:f>
        <x:v>Extreme</x:v>
      </x:c>
      <x:c r="J30" s="35" t="str"/>
      <x:c r="K30" s="35" t="str">
        <x:v>Trend reconstruction</x:v>
      </x:c>
      <x:c r="L30" s="35" t="str">
        <x:v>Public chart / published-anchor interpolation</x:v>
      </x:c>
      <x:c r="M30" s="35" t="str">
        <x:v>https://en.sse.net.cn/indices/scfinew.jsp</x:v>
      </x:c>
      <x:c r="N30" s="34" t="n">
        <x:v>2022</x:v>
      </x:c>
    </x:row>
    <x:row r="31">
      <x:c r="A31" s="28" t="n">
        <x:v>44621</x:v>
      </x:c>
      <x:c r="B31" s="30" t="n">
        <x:v>4540</x:v>
      </x:c>
      <x:c r="C31" s="32" t="n">
        <x:f>B31/B30-1</x:f>
        <x:v>-0.08190091001011124</x:v>
      </x:c>
      <x:c r="D31" s="32" t="n">
        <x:f>B31/B19-1</x:f>
        <x:v>0.7576461478900502</x:v>
      </x:c>
      <x:c r="E31" s="30" t="n">
        <x:f>AVERAGE(B29:B31)</x:f>
        <x:v>4864.866666666667</x:v>
      </x:c>
      <x:c r="F31" s="30" t="n">
        <x:f>AVERAGE(B20:B31)</x:f>
        <x:v>4323.216666666666</x:v>
      </x:c>
      <x:c r="G31" s="32" t="n">
        <x:v>0.29593636954583546</x:v>
      </x:c>
      <x:c r="H31" s="32" t="n">
        <x:f>B31/MAX($B$5:B31)-1</x:f>
        <x:v>-0.11147643651166439</x:v>
      </x:c>
      <x:c r="I31" s="34" t="str">
        <x:f>IF(B31&lt;1000,"Low",IF(B31&lt;1800,"Normal",IF(B31&lt;3000,"Elevated",IF(B31&lt;4500,"High","Extreme"))))</x:f>
        <x:v>Extreme</x:v>
      </x:c>
      <x:c r="J31" s="35" t="str"/>
      <x:c r="K31" s="35" t="str">
        <x:v>Trend reconstruction</x:v>
      </x:c>
      <x:c r="L31" s="35" t="str">
        <x:v>Public chart / published-anchor interpolation</x:v>
      </x:c>
      <x:c r="M31" s="35" t="str">
        <x:v>https://en.sse.net.cn/indices/scfinew.jsp</x:v>
      </x:c>
      <x:c r="N31" s="34" t="n">
        <x:v>2022</x:v>
      </x:c>
    </x:row>
    <x:row r="32">
      <x:c r="A32" s="28" t="n">
        <x:v>44652</x:v>
      </x:c>
      <x:c r="B32" s="30" t="n">
        <x:v>4177</x:v>
      </x:c>
      <x:c r="C32" s="32" t="n">
        <x:f>B32/B31-1</x:f>
        <x:v>-0.07995594713656384</x:v>
      </x:c>
      <x:c r="D32" s="32" t="n">
        <x:f>B32/B20-1</x:f>
        <x:v>0.5821969696969698</x:v>
      </x:c>
      <x:c r="E32" s="30" t="n">
        <x:f>AVERAGE(B30:B32)</x:f>
        <x:v>4554</x:v>
      </x:c>
      <x:c r="F32" s="30" t="n">
        <x:f>AVERAGE(B21:B32)</x:f>
        <x:v>4451.3</x:v>
      </x:c>
      <x:c r="G32" s="32" t="n">
        <x:v>0.3211122546222739</x:v>
      </x:c>
      <x:c r="H32" s="32" t="n">
        <x:f>B32/MAX($B$5:B32)-1</x:f>
        <x:v>-0.18251917958352915</x:v>
      </x:c>
      <x:c r="I32" s="34" t="str">
        <x:f>IF(B32&lt;1000,"Low",IF(B32&lt;1800,"Normal",IF(B32&lt;3000,"Elevated",IF(B32&lt;4500,"High","Extreme"))))</x:f>
        <x:v>High</x:v>
      </x:c>
      <x:c r="J32" s="35" t="str"/>
      <x:c r="K32" s="35" t="str">
        <x:v>Trend reconstruction</x:v>
      </x:c>
      <x:c r="L32" s="35" t="str">
        <x:v>Public chart / published-anchor interpolation</x:v>
      </x:c>
      <x:c r="M32" s="35" t="str">
        <x:v>https://en.sse.net.cn/indices/scfinew.jsp</x:v>
      </x:c>
      <x:c r="N32" s="34" t="n">
        <x:v>2022</x:v>
      </x:c>
    </x:row>
    <x:row r="33">
      <x:c r="A33" s="28" t="n">
        <x:v>44682</x:v>
      </x:c>
      <x:c r="B33" s="30" t="n">
        <x:v>4162</x:v>
      </x:c>
      <x:c r="C33" s="32" t="n">
        <x:f>B33/B32-1</x:f>
        <x:v>-0.0035910940866650254</x:v>
      </x:c>
      <x:c r="D33" s="32" t="n">
        <x:f>B33/B21-1</x:f>
        <x:v>0.24498953036195026</x:v>
      </x:c>
      <x:c r="E33" s="30" t="n">
        <x:f>AVERAGE(B31:B33)</x:f>
        <x:v>4293</x:v>
      </x:c>
      <x:c r="F33" s="30" t="n">
        <x:f>AVERAGE(B22:B33)</x:f>
        <x:v>4519.55</x:v>
      </x:c>
      <x:c r="G33" s="32" t="n">
        <x:v>0.22208858626461714</x:v>
      </x:c>
      <x:c r="H33" s="32" t="n">
        <x:f>B33/MAX($B$5:B33)-1</x:f>
        <x:v>-0.1854548301236888</x:v>
      </x:c>
      <x:c r="I33" s="34" t="str">
        <x:f>IF(B33&lt;1000,"Low",IF(B33&lt;1800,"Normal",IF(B33&lt;3000,"Elevated",IF(B33&lt;4500,"High","Extreme"))))</x:f>
        <x:v>High</x:v>
      </x:c>
      <x:c r="J33" s="35" t="str"/>
      <x:c r="K33" s="35" t="str">
        <x:v>Trend reconstruction</x:v>
      </x:c>
      <x:c r="L33" s="35" t="str">
        <x:v>Public chart / published-anchor interpolation</x:v>
      </x:c>
      <x:c r="M33" s="35" t="str">
        <x:v>https://en.sse.net.cn/indices/scfinew.jsp</x:v>
      </x:c>
      <x:c r="N33" s="34" t="n">
        <x:v>2022</x:v>
      </x:c>
    </x:row>
    <x:row r="34">
      <x:c r="A34" s="28" t="n">
        <x:v>44713</x:v>
      </x:c>
      <x:c r="B34" s="30" t="n">
        <x:v>4216</x:v>
      </x:c>
      <x:c r="C34" s="32" t="n">
        <x:f>B34/B33-1</x:f>
        <x:v>0.012974531475252293</x:v>
      </x:c>
      <x:c r="D34" s="32" t="n">
        <x:f>B34/B22-1</x:f>
        <x:v>0.1138705416116248</x:v>
      </x:c>
      <x:c r="E34" s="30" t="n">
        <x:f>AVERAGE(B32:B34)</x:f>
        <x:v>4185</x:v>
      </x:c>
      <x:c r="F34" s="30" t="n">
        <x:f>AVERAGE(B23:B34)</x:f>
        <x:v>4555.466666666666</x:v>
      </x:c>
      <x:c r="G34" s="32" t="n">
        <x:v>0.1889500537003691</x:v>
      </x:c>
      <x:c r="H34" s="32" t="n">
        <x:f>B34/MAX($B$5:B34)-1</x:f>
        <x:v>-0.1748864881791139</x:v>
      </x:c>
      <x:c r="I34" s="34" t="str">
        <x:f>IF(B34&lt;1000,"Low",IF(B34&lt;1800,"Normal",IF(B34&lt;3000,"Elevated",IF(B34&lt;4500,"High","Extreme"))))</x:f>
        <x:v>High</x:v>
      </x:c>
      <x:c r="J34" s="35" t="str"/>
      <x:c r="K34" s="35" t="str">
        <x:v>Trend reconstruction</x:v>
      </x:c>
      <x:c r="L34" s="35" t="str">
        <x:v>Public chart / published-anchor interpolation</x:v>
      </x:c>
      <x:c r="M34" s="35" t="str">
        <x:v>https://en.sse.net.cn/indices/scfinew.jsp</x:v>
      </x:c>
      <x:c r="N34" s="34" t="n">
        <x:v>2022</x:v>
      </x:c>
    </x:row>
    <x:row r="35">
      <x:c r="A35" s="28" t="n">
        <x:v>44743</x:v>
      </x:c>
      <x:c r="B35" s="30" t="n">
        <x:v>4075</x:v>
      </x:c>
      <x:c r="C35" s="32" t="n">
        <x:f>B35/B34-1</x:f>
        <x:v>-0.033444022770398485</x:v>
      </x:c>
      <x:c r="D35" s="32" t="n">
        <x:f>B35/B23-1</x:f>
        <x:v>-0.028836987607244957</x:v>
      </x:c>
      <x:c r="E35" s="30" t="n">
        <x:f>AVERAGE(B33:B35)</x:f>
        <x:v>4151</x:v>
      </x:c>
      <x:c r="F35" s="30" t="n">
        <x:f>AVERAGE(B24:B35)</x:f>
        <x:v>4545.383333333333</x:v>
      </x:c>
      <x:c r="G35" s="32" t="n">
        <x:v>0.16227873088608444</x:v>
      </x:c>
      <x:c r="H35" s="32" t="n">
        <x:f>B35/MAX($B$5:B35)-1</x:f>
        <x:v>-0.20248160325661502</x:v>
      </x:c>
      <x:c r="I35" s="34" t="str">
        <x:f>IF(B35&lt;1000,"Low",IF(B35&lt;1800,"Normal",IF(B35&lt;3000,"Elevated",IF(B35&lt;4500,"High","Extreme"))))</x:f>
        <x:v>High</x:v>
      </x:c>
      <x:c r="J35" s="35" t="str"/>
      <x:c r="K35" s="35" t="str">
        <x:v>Trend reconstruction</x:v>
      </x:c>
      <x:c r="L35" s="35" t="str">
        <x:v>Public chart / published-anchor interpolation</x:v>
      </x:c>
      <x:c r="M35" s="35" t="str">
        <x:v>https://en.sse.net.cn/indices/scfinew.jsp</x:v>
      </x:c>
      <x:c r="N35" s="34" t="n">
        <x:v>2022</x:v>
      </x:c>
    </x:row>
    <x:row r="36">
      <x:c r="A36" s="28" t="n">
        <x:v>44774</x:v>
      </x:c>
      <x:c r="B36" s="30" t="n">
        <x:v>3155</x:v>
      </x:c>
      <x:c r="C36" s="32" t="n">
        <x:f>B36/B35-1</x:f>
        <x:v>-0.2257668711656442</x:v>
      </x:c>
      <x:c r="D36" s="32" t="n">
        <x:f>B36/B24-1</x:f>
        <x:v>-0.27471264367816095</x:v>
      </x:c>
      <x:c r="E36" s="30" t="n">
        <x:f>AVERAGE(B34:B36)</x:f>
        <x:v>3815.3333333333335</x:v>
      </x:c>
      <x:c r="F36" s="30" t="n">
        <x:f>AVERAGE(B25:B36)</x:f>
        <x:v>4445.8</x:v>
      </x:c>
      <x:c r="G36" s="32" t="n">
        <x:v>0.26367011075588026</x:v>
      </x:c>
      <x:c r="H36" s="32" t="n">
        <x:f>B36/MAX($B$5:B36)-1</x:f>
        <x:v>-0.38253483638640995</x:v>
      </x:c>
      <x:c r="I36" s="34" t="str">
        <x:f>IF(B36&lt;1000,"Low",IF(B36&lt;1800,"Normal",IF(B36&lt;3000,"Elevated",IF(B36&lt;4500,"High","Extreme"))))</x:f>
        <x:v>High</x:v>
      </x:c>
      <x:c r="J36" s="35" t="str"/>
      <x:c r="K36" s="35" t="str">
        <x:v>Trend reconstruction</x:v>
      </x:c>
      <x:c r="L36" s="35" t="str">
        <x:v>Public chart / published-anchor interpolation</x:v>
      </x:c>
      <x:c r="M36" s="35" t="str">
        <x:v>https://en.sse.net.cn/indices/scfinew.jsp</x:v>
      </x:c>
      <x:c r="N36" s="34" t="n">
        <x:v>2022</x:v>
      </x:c>
    </x:row>
    <x:row r="37">
      <x:c r="A37" s="28" t="n">
        <x:v>44805</x:v>
      </x:c>
      <x:c r="B37" s="30" t="n">
        <x:v>1922</x:v>
      </x:c>
      <x:c r="C37" s="32" t="n">
        <x:f>B37/B36-1</x:f>
        <x:v>-0.39080824088748023</x:v>
      </x:c>
      <x:c r="D37" s="32" t="n">
        <x:f>B37/B25-1</x:f>
        <x:v>-0.5834416991764195</x:v>
      </x:c>
      <x:c r="E37" s="30" t="n">
        <x:f>AVERAGE(B35:B37)</x:f>
        <x:v>3050.6666666666665</x:v>
      </x:c>
      <x:c r="F37" s="30" t="n">
        <x:f>AVERAGE(B26:B37)</x:f>
        <x:v>4221.466666666666</x:v>
      </x:c>
      <x:c r="G37" s="32" t="n">
        <x:v>0.4250123439410533</x:v>
      </x:c>
      <x:c r="H37" s="32" t="n">
        <x:f>B37/MAX($B$5:B37)-1</x:f>
        <x:v>-0.6238453107875372</x:v>
      </x:c>
      <x:c r="I37" s="34" t="str">
        <x:f>IF(B37&lt;1000,"Low",IF(B37&lt;1800,"Normal",IF(B37&lt;3000,"Elevated",IF(B37&lt;4500,"High","Extreme"))))</x:f>
        <x:v>Elevated</x:v>
      </x:c>
      <x:c r="J37" s="35" t="str">
        <x:v>Rapid rate correction</x:v>
      </x:c>
      <x:c r="K37" s="35" t="str">
        <x:v>Trend reconstruction</x:v>
      </x:c>
      <x:c r="L37" s="35" t="str">
        <x:v>Public chart / published-anchor interpolation</x:v>
      </x:c>
      <x:c r="M37" s="35" t="str">
        <x:v>https://en.sse.net.cn/indices/scfinew.jsp</x:v>
      </x:c>
      <x:c r="N37" s="34" t="n">
        <x:v>2022</x:v>
      </x:c>
    </x:row>
    <x:row r="38">
      <x:c r="A38" s="28" t="n">
        <x:v>44835</x:v>
      </x:c>
      <x:c r="B38" s="30" t="n">
        <x:v>1697</x:v>
      </x:c>
      <x:c r="C38" s="32" t="n">
        <x:f>B38/B37-1</x:f>
        <x:v>-0.11706555671175856</x:v>
      </x:c>
      <x:c r="D38" s="32" t="n">
        <x:f>B38/B26-1</x:f>
        <x:v>-0.6314875135722041</x:v>
      </x:c>
      <x:c r="E38" s="30" t="n">
        <x:f>AVERAGE(B36:B38)</x:f>
        <x:v>2258</x:v>
      </x:c>
      <x:c r="F38" s="30" t="n">
        <x:f>AVERAGE(B27:B38)</x:f>
        <x:v>3979.133333333333</x:v>
      </x:c>
      <x:c r="G38" s="32" t="n">
        <x:v>0.423354165468037</x:v>
      </x:c>
      <x:c r="H38" s="32" t="n">
        <x:f>B38/MAX($B$5:B38)-1</x:f>
        <x:v>-0.6678800688899327</x:v>
      </x:c>
      <x:c r="I38" s="34" t="str">
        <x:f>IF(B38&lt;1000,"Low",IF(B38&lt;1800,"Normal",IF(B38&lt;3000,"Elevated",IF(B38&lt;4500,"High","Extreme"))))</x:f>
        <x:v>Normal</x:v>
      </x:c>
      <x:c r="J38" s="35" t="str"/>
      <x:c r="K38" s="35" t="str">
        <x:v>Trend reconstruction</x:v>
      </x:c>
      <x:c r="L38" s="35" t="str">
        <x:v>Public chart / published-anchor interpolation</x:v>
      </x:c>
      <x:c r="M38" s="35" t="str">
        <x:v>https://en.sse.net.cn/indices/scfinew.jsp</x:v>
      </x:c>
      <x:c r="N38" s="34" t="n">
        <x:v>2022</x:v>
      </x:c>
    </x:row>
    <x:row r="39">
      <x:c r="A39" s="28" t="n">
        <x:v>44866</x:v>
      </x:c>
      <x:c r="B39" s="30" t="n">
        <x:v>1229</x:v>
      </x:c>
      <x:c r="C39" s="32" t="n">
        <x:f>B39/B38-1</x:f>
        <x:v>-0.27578078962875663</x:v>
      </x:c>
      <x:c r="D39" s="32" t="n">
        <x:f>B39/B27-1</x:f>
        <x:v>-0.738788522848034</x:v>
      </x:c>
      <x:c r="E39" s="30" t="n">
        <x:f>AVERAGE(B37:B39)</x:f>
        <x:v>1616</x:v>
      </x:c>
      <x:c r="F39" s="30" t="n">
        <x:f>AVERAGE(B28:B39)</x:f>
        <x:v>3689.4666666666667</x:v>
      </x:c>
      <x:c r="G39" s="32" t="n">
        <x:v>0.4533659306732428</x:v>
      </x:c>
      <x:c r="H39" s="32" t="n">
        <x:f>B39/MAX($B$5:B39)-1</x:f>
        <x:v>-0.7594723657429153</x:v>
      </x:c>
      <x:c r="I39" s="34" t="str">
        <x:f>IF(B39&lt;1000,"Low",IF(B39&lt;1800,"Normal",IF(B39&lt;3000,"Elevated",IF(B39&lt;4500,"High","Extreme"))))</x:f>
        <x:v>Normal</x:v>
      </x:c>
      <x:c r="J39" s="35" t="str"/>
      <x:c r="K39" s="35" t="str">
        <x:v>Trend reconstruction</x:v>
      </x:c>
      <x:c r="L39" s="35" t="str">
        <x:v>Public chart / published-anchor interpolation</x:v>
      </x:c>
      <x:c r="M39" s="35" t="str">
        <x:v>https://en.sse.net.cn/indices/scfinew.jsp</x:v>
      </x:c>
      <x:c r="N39" s="34" t="n">
        <x:v>2022</x:v>
      </x:c>
    </x:row>
    <x:row r="40">
      <x:c r="A40" s="28" t="n">
        <x:v>44896</x:v>
      </x:c>
      <x:c r="B40" s="30" t="n">
        <x:v>1107.55</x:v>
      </x:c>
      <x:c r="C40" s="32" t="n">
        <x:f>B40/B39-1</x:f>
        <x:v>-0.0988201790073231</x:v>
      </x:c>
      <x:c r="D40" s="32" t="n">
        <x:f>B40/B28-1</x:f>
        <x:v>-0.780509314308363</x:v>
      </x:c>
      <x:c r="E40" s="30" t="n">
        <x:f>AVERAGE(B38:B40)</x:f>
        <x:v>1344.5166666666667</x:v>
      </x:c>
      <x:c r="F40" s="30" t="n">
        <x:f>AVERAGE(B29:B40)</x:f>
        <x:v>3361.2625000000003</x:v>
      </x:c>
      <x:c r="G40" s="32" t="n">
        <x:v>0.41831952747881296</x:v>
      </x:c>
      <x:c r="H40" s="32" t="n">
        <x:f>B40/MAX($B$5:B40)-1</x:f>
        <x:v>-0.7832413496164083</x:v>
      </x:c>
      <x:c r="I40" s="34" t="str">
        <x:f>IF(B40&lt;1000,"Low",IF(B40&lt;1800,"Normal",IF(B40&lt;3000,"Elevated",IF(B40&lt;4500,"High","Extreme"))))</x:f>
        <x:v>Normal</x:v>
      </x:c>
      <x:c r="J40" s="35" t="str"/>
      <x:c r="K40" s="35" t="str">
        <x:v>Trend reconstruction</x:v>
      </x:c>
      <x:c r="L40" s="35" t="str">
        <x:v>Public chart / published-anchor interpolation</x:v>
      </x:c>
      <x:c r="M40" s="35" t="str">
        <x:v>https://en.sse.net.cn/indices/scfinew.jsp</x:v>
      </x:c>
      <x:c r="N40" s="34" t="n">
        <x:v>2022</x:v>
      </x:c>
    </x:row>
    <x:row r="41">
      <x:c r="A41" s="28" t="n">
        <x:v>44927</x:v>
      </x:c>
      <x:c r="B41" s="30" t="n">
        <x:v>1040.77</x:v>
      </x:c>
      <x:c r="C41" s="32" t="n">
        <x:f>B41/B40-1</x:f>
        <x:v>-0.06029524626427696</x:v>
      </x:c>
      <x:c r="D41" s="32" t="n">
        <x:f>B41/B29-1</x:f>
        <x:v>-0.7963108658211994</x:v>
      </x:c>
      <x:c r="E41" s="30" t="n">
        <x:f>AVERAGE(B39:B41)</x:f>
        <x:v>1125.7733333333333</x:v>
      </x:c>
      <x:c r="F41" s="30" t="n">
        <x:f>AVERAGE(B30:B41)</x:f>
        <x:v>3022.193333333333</x:v>
      </x:c>
      <x:c r="G41" s="32" t="n">
        <x:v>0.4025703496981385</x:v>
      </x:c>
      <x:c r="H41" s="32" t="n">
        <x:f>B41/MAX($B$5:B41)-1</x:f>
        <x:v>-0.7963108658211994</x:v>
      </x:c>
      <x:c r="I41" s="34" t="str">
        <x:f>IF(B41&lt;1000,"Low",IF(B41&lt;1800,"Normal",IF(B41&lt;3000,"Elevated",IF(B41&lt;4500,"High","Extreme"))))</x:f>
        <x:v>Normal</x:v>
      </x:c>
      <x:c r="J41" s="35" t="str"/>
      <x:c r="K41" s="35" t="str">
        <x:v>Published monthly snapshot</x:v>
      </x:c>
      <x:c r="L41" s="35" t="str">
        <x:v>Cello Square</x:v>
      </x:c>
      <x:c r="M41" s="35" t="str">
        <x:v>https://www.cello-square.com/en/blog/view-1405.do</x:v>
      </x:c>
      <x:c r="N41" s="34" t="n">
        <x:v>2023</x:v>
      </x:c>
    </x:row>
    <x:row r="42">
      <x:c r="A42" s="28" t="n">
        <x:v>44958</x:v>
      </x:c>
      <x:c r="B42" s="30" t="n">
        <x:v>946.68</x:v>
      </x:c>
      <x:c r="C42" s="32" t="n">
        <x:f>B42/B41-1</x:f>
        <x:v>-0.09040421995253523</x:v>
      </x:c>
      <x:c r="D42" s="32" t="n">
        <x:f>B42/B30-1</x:f>
        <x:v>-0.8085581395348838</x:v>
      </x:c>
      <x:c r="E42" s="30" t="n">
        <x:f>AVERAGE(B40:B42)</x:f>
        <x:v>1031.6666666666665</x:v>
      </x:c>
      <x:c r="F42" s="30" t="n">
        <x:f>AVERAGE(B31:B42)</x:f>
        <x:v>2689</x:v>
      </x:c>
      <x:c r="G42" s="32" t="n">
        <x:v>0.3942936071919781</x:v>
      </x:c>
      <x:c r="H42" s="32" t="n">
        <x:f>B42/MAX($B$5:B42)-1</x:f>
        <x:v>-0.8147252231094411</x:v>
      </x:c>
      <x:c r="I42" s="34" t="str">
        <x:f>IF(B42&lt;1000,"Low",IF(B42&lt;1800,"Normal",IF(B42&lt;3000,"Elevated",IF(B42&lt;4500,"High","Extreme"))))</x:f>
        <x:v>Low</x:v>
      </x:c>
      <x:c r="J42" s="35" t="str"/>
      <x:c r="K42" s="35" t="str">
        <x:v>Trend reconstruction</x:v>
      </x:c>
      <x:c r="L42" s="35" t="str">
        <x:v>Public chart / published-anchor interpolation</x:v>
      </x:c>
      <x:c r="M42" s="35" t="str">
        <x:v>https://en.sse.net.cn/indices/scfinew.jsp</x:v>
      </x:c>
      <x:c r="N42" s="34" t="n">
        <x:v>2023</x:v>
      </x:c>
    </x:row>
    <x:row r="43">
      <x:c r="A43" s="28" t="n">
        <x:v>44986</x:v>
      </x:c>
      <x:c r="B43" s="30" t="n">
        <x:v>923.78</x:v>
      </x:c>
      <x:c r="C43" s="32" t="n">
        <x:f>B43/B42-1</x:f>
        <x:v>-0.0241898001436599</x:v>
      </x:c>
      <x:c r="D43" s="32" t="n">
        <x:f>B43/B31-1</x:f>
        <x:v>-0.7965242290748898</x:v>
      </x:c>
      <x:c r="E43" s="30" t="n">
        <x:f>AVERAGE(B41:B43)</x:f>
        <x:v>970.4099999999999</x:v>
      </x:c>
      <x:c r="F43" s="30" t="n">
        <x:f>AVERAGE(B32:B43)</x:f>
        <x:v>2387.648333333333</x:v>
      </x:c>
      <x:c r="G43" s="32" t="n">
        <x:v>0.4036888489201648</x:v>
      </x:c>
      <x:c r="H43" s="32" t="n">
        <x:f>B43/MAX($B$5:B43)-1</x:f>
        <x:v>-0.8192069829340849</x:v>
      </x:c>
      <x:c r="I43" s="34" t="str">
        <x:f>IF(B43&lt;1000,"Low",IF(B43&lt;1800,"Normal",IF(B43&lt;3000,"Elevated",IF(B43&lt;4500,"High","Extreme"))))</x:f>
        <x:v>Low</x:v>
      </x:c>
      <x:c r="J43" s="35" t="str"/>
      <x:c r="K43" s="35" t="str">
        <x:v>Trend reconstruction</x:v>
      </x:c>
      <x:c r="L43" s="35" t="str">
        <x:v>Public chart / published-anchor interpolation</x:v>
      </x:c>
      <x:c r="M43" s="35" t="str">
        <x:v>https://en.sse.net.cn/indices/scfinew.jsp</x:v>
      </x:c>
      <x:c r="N43" s="34" t="n">
        <x:v>2023</x:v>
      </x:c>
    </x:row>
    <x:row r="44">
      <x:c r="A44" s="28" t="n">
        <x:v>45017</x:v>
      </x:c>
      <x:c r="B44" s="30" t="n">
        <x:v>999.73</x:v>
      </x:c>
      <x:c r="C44" s="32" t="n">
        <x:f>B44/B43-1</x:f>
        <x:v>0.08221654506484244</x:v>
      </x:c>
      <x:c r="D44" s="32" t="n">
        <x:f>B44/B32-1</x:f>
        <x:v>-0.760658367249222</x:v>
      </x:c>
      <x:c r="E44" s="30" t="n">
        <x:f>AVERAGE(B42:B44)</x:f>
        <x:v>956.73</x:v>
      </x:c>
      <x:c r="F44" s="30" t="n">
        <x:f>AVERAGE(B33:B44)</x:f>
        <x:v>2122.875833333333</x:v>
      </x:c>
      <x:c r="G44" s="32" t="n">
        <x:v>0.4456820539789122</x:v>
      </x:c>
      <x:c r="H44" s="32" t="n">
        <x:f>B44/MAX($B$5:B44)-1</x:f>
        <x:v>-0.8043428056990762</x:v>
      </x:c>
      <x:c r="I44" s="34" t="str">
        <x:f>IF(B44&lt;1000,"Low",IF(B44&lt;1800,"Normal",IF(B44&lt;3000,"Elevated",IF(B44&lt;4500,"High","Extreme"))))</x:f>
        <x:v>Low</x:v>
      </x:c>
      <x:c r="J44" s="35" t="str"/>
      <x:c r="K44" s="35" t="str">
        <x:v>Trend reconstruction</x:v>
      </x:c>
      <x:c r="L44" s="35" t="str">
        <x:v>Public chart / published-anchor interpolation</x:v>
      </x:c>
      <x:c r="M44" s="35" t="str">
        <x:v>https://en.sse.net.cn/indices/scfinew.jsp</x:v>
      </x:c>
      <x:c r="N44" s="34" t="n">
        <x:v>2023</x:v>
      </x:c>
    </x:row>
    <x:row r="45">
      <x:c r="A45" s="28" t="n">
        <x:v>45047</x:v>
      </x:c>
      <x:c r="B45" s="30" t="n">
        <x:v>972.95</x:v>
      </x:c>
      <x:c r="C45" s="32" t="n">
        <x:f>B45/B44-1</x:f>
        <x:v>-0.026787232552789253</x:v>
      </x:c>
      <x:c r="D45" s="32" t="n">
        <x:f>B45/B33-1</x:f>
        <x:v>-0.766230177799135</x:v>
      </x:c>
      <x:c r="E45" s="30" t="n">
        <x:f>AVERAGE(B43:B45)</x:f>
        <x:v>965.4866666666667</x:v>
      </x:c>
      <x:c r="F45" s="30" t="n">
        <x:f>AVERAGE(B34:B45)</x:f>
        <x:v>1857.1216666666667</x:v>
      </x:c>
      <x:c r="G45" s="32" t="n">
        <x:v>0.44108563035226217</x:v>
      </x:c>
      <x:c r="H45" s="32" t="n">
        <x:f>B45/MAX($B$5:B45)-1</x:f>
        <x:v>-0.8095839204634414</x:v>
      </x:c>
      <x:c r="I45" s="34" t="str">
        <x:f>IF(B45&lt;1000,"Low",IF(B45&lt;1800,"Normal",IF(B45&lt;3000,"Elevated",IF(B45&lt;4500,"High","Extreme"))))</x:f>
        <x:v>Low</x:v>
      </x:c>
      <x:c r="J45" s="35" t="str"/>
      <x:c r="K45" s="35" t="str">
        <x:v>Trend reconstruction</x:v>
      </x:c>
      <x:c r="L45" s="35" t="str">
        <x:v>Public chart / published-anchor interpolation</x:v>
      </x:c>
      <x:c r="M45" s="35" t="str">
        <x:v>https://en.sse.net.cn/indices/scfinew.jsp</x:v>
      </x:c>
      <x:c r="N45" s="34" t="n">
        <x:v>2023</x:v>
      </x:c>
    </x:row>
    <x:row r="46">
      <x:c r="A46" s="28" t="n">
        <x:v>45078</x:v>
      </x:c>
      <x:c r="B46" s="30" t="n">
        <x:v>953.6</x:v>
      </x:c>
      <x:c r="C46" s="32" t="n">
        <x:f>B46/B45-1</x:f>
        <x:v>-0.019887969577059517</x:v>
      </x:c>
      <x:c r="D46" s="32" t="n">
        <x:f>B46/B34-1</x:f>
        <x:v>-0.7738140417457305</x:v>
      </x:c>
      <x:c r="E46" s="30" t="n">
        <x:f>AVERAGE(B44:B46)</x:f>
        <x:v>975.4266666666667</x:v>
      </x:c>
      <x:c r="F46" s="30" t="n">
        <x:f>AVERAGE(B35:B46)</x:f>
        <x:v>1585.255</x:v>
      </x:c>
      <x:c r="G46" s="32" t="n">
        <x:v>0.4334251879928065</x:v>
      </x:c>
      <x:c r="H46" s="32" t="n">
        <x:f>B46/MAX($B$5:B46)-1</x:f>
        <x:v>-0.8133709096602474</x:v>
      </x:c>
      <x:c r="I46" s="34" t="str">
        <x:f>IF(B46&lt;1000,"Low",IF(B46&lt;1800,"Normal",IF(B46&lt;3000,"Elevated",IF(B46&lt;4500,"High","Extreme"))))</x:f>
        <x:v>Low</x:v>
      </x:c>
      <x:c r="J46" s="35" t="str"/>
      <x:c r="K46" s="35" t="str">
        <x:v>Trend reconstruction</x:v>
      </x:c>
      <x:c r="L46" s="35" t="str">
        <x:v>Public chart / published-anchor interpolation</x:v>
      </x:c>
      <x:c r="M46" s="35" t="str">
        <x:v>https://en.sse.net.cn/indices/scfinew.jsp</x:v>
      </x:c>
      <x:c r="N46" s="34" t="n">
        <x:v>2023</x:v>
      </x:c>
    </x:row>
    <x:row r="47">
      <x:c r="A47" s="28" t="n">
        <x:v>45108</x:v>
      </x:c>
      <x:c r="B47" s="30" t="n">
        <x:v>1030.36</x:v>
      </x:c>
      <x:c r="C47" s="32" t="n">
        <x:f>B47/B46-1</x:f>
        <x:v>0.08049496644295284</x:v>
      </x:c>
      <x:c r="D47" s="32" t="n">
        <x:f>B47/B35-1</x:f>
        <x:v>-0.7471509202453988</x:v>
      </x:c>
      <x:c r="E47" s="30" t="n">
        <x:f>AVERAGE(B45:B47)</x:f>
        <x:v>985.6366666666667</x:v>
      </x:c>
      <x:c r="F47" s="30" t="n">
        <x:f>AVERAGE(B36:B47)</x:f>
        <x:v>1331.535</x:v>
      </x:c>
      <x:c r="G47" s="32" t="n">
        <x:v>0.46525595255604735</x:v>
      </x:c>
      <x:c r="H47" s="32" t="n">
        <x:f>B47/MAX($B$5:B47)-1</x:f>
        <x:v>-0.7983482072960701</x:v>
      </x:c>
      <x:c r="I47" s="34" t="str">
        <x:f>IF(B47&lt;1000,"Low",IF(B47&lt;1800,"Normal",IF(B47&lt;3000,"Elevated",IF(B47&lt;4500,"High","Extreme"))))</x:f>
        <x:v>Normal</x:v>
      </x:c>
      <x:c r="J47" s="35" t="str"/>
      <x:c r="K47" s="35" t="str">
        <x:v>Trend reconstruction</x:v>
      </x:c>
      <x:c r="L47" s="35" t="str">
        <x:v>Public chart / published-anchor interpolation</x:v>
      </x:c>
      <x:c r="M47" s="35" t="str">
        <x:v>https://en.sse.net.cn/indices/scfinew.jsp</x:v>
      </x:c>
      <x:c r="N47" s="34" t="n">
        <x:v>2023</x:v>
      </x:c>
    </x:row>
    <x:row r="48">
      <x:c r="A48" s="28" t="n">
        <x:v>45139</x:v>
      </x:c>
      <x:c r="B48" s="30" t="n">
        <x:v>1033.67</x:v>
      </x:c>
      <x:c r="C48" s="32" t="n">
        <x:f>B48/B47-1</x:f>
        <x:v>0.0032124694281612243</x:v>
      </x:c>
      <x:c r="D48" s="32" t="n">
        <x:f>B48/B36-1</x:f>
        <x:v>-0.6723708399366085</x:v>
      </x:c>
      <x:c r="E48" s="30" t="n">
        <x:f>AVERAGE(B46:B48)</x:f>
        <x:v>1005.8766666666667</x:v>
      </x:c>
      <x:c r="F48" s="30" t="n">
        <x:f>AVERAGE(B37:B48)</x:f>
        <x:v>1154.7575000000002</x:v>
      </x:c>
      <x:c r="G48" s="32" t="n">
        <x:v>0.45351244540430613</x:v>
      </x:c>
      <x:c r="H48" s="32" t="n">
        <x:f>B48/MAX($B$5:B48)-1</x:f>
        <x:v>-0.797700407076875</x:v>
      </x:c>
      <x:c r="I48" s="34" t="str">
        <x:f>IF(B48&lt;1000,"Low",IF(B48&lt;1800,"Normal",IF(B48&lt;3000,"Elevated",IF(B48&lt;4500,"High","Extreme"))))</x:f>
        <x:v>Normal</x:v>
      </x:c>
      <x:c r="J48" s="35" t="str"/>
      <x:c r="K48" s="35" t="str">
        <x:v>Trend reconstruction</x:v>
      </x:c>
      <x:c r="L48" s="35" t="str">
        <x:v>Public chart / published-anchor interpolation</x:v>
      </x:c>
      <x:c r="M48" s="35" t="str">
        <x:v>https://en.sse.net.cn/indices/scfinew.jsp</x:v>
      </x:c>
      <x:c r="N48" s="34" t="n">
        <x:v>2023</x:v>
      </x:c>
    </x:row>
    <x:row r="49">
      <x:c r="A49" s="28" t="n">
        <x:v>45170</x:v>
      </x:c>
      <x:c r="B49" s="30" t="n">
        <x:v>886.85</x:v>
      </x:c>
      <x:c r="C49" s="32" t="n">
        <x:f>B49/B48-1</x:f>
        <x:v>-0.14203759420317896</x:v>
      </x:c>
      <x:c r="D49" s="32" t="n">
        <x:f>B49/B37-1</x:f>
        <x:v>-0.538579604578564</x:v>
      </x:c>
      <x:c r="E49" s="30" t="n">
        <x:f>AVERAGE(B47:B49)</x:f>
        <x:v>983.6266666666666</x:v>
      </x:c>
      <x:c r="F49" s="30" t="n">
        <x:f>AVERAGE(B38:B49)</x:f>
        <x:v>1068.4950000000001</x:v>
      </x:c>
      <x:c r="G49" s="32" t="n">
        <x:v>0.3268880878761944</x:v>
      </x:c>
      <x:c r="H49" s="32" t="n">
        <x:f>B49/MAX($B$5:B49)-1</x:f>
        <x:v>-0.826434554563958</x:v>
      </x:c>
      <x:c r="I49" s="34" t="str">
        <x:f>IF(B49&lt;1000,"Low",IF(B49&lt;1800,"Normal",IF(B49&lt;3000,"Elevated",IF(B49&lt;4500,"High","Extreme"))))</x:f>
        <x:v>Low</x:v>
      </x:c>
      <x:c r="J49" s="35" t="str">
        <x:v>Cycle bottom</x:v>
      </x:c>
      <x:c r="K49" s="35" t="str">
        <x:v>Trend reconstruction</x:v>
      </x:c>
      <x:c r="L49" s="35" t="str">
        <x:v>Public chart / published-anchor interpolation</x:v>
      </x:c>
      <x:c r="M49" s="35" t="str">
        <x:v>https://en.sse.net.cn/indices/scfinew.jsp</x:v>
      </x:c>
      <x:c r="N49" s="34" t="n">
        <x:v>2023</x:v>
      </x:c>
    </x:row>
    <x:row r="50">
      <x:c r="A50" s="28" t="n">
        <x:v>45200</x:v>
      </x:c>
      <x:c r="B50" s="30" t="n">
        <x:v>1012.6</x:v>
      </x:c>
      <x:c r="C50" s="32" t="n">
        <x:f>B50/B49-1</x:f>
        <x:v>0.14179398996448112</x:v>
      </x:c>
      <x:c r="D50" s="32" t="n">
        <x:f>B50/B38-1</x:f>
        <x:v>-0.4032999410724808</x:v>
      </x:c>
      <x:c r="E50" s="30" t="n">
        <x:f>AVERAGE(B48:B50)</x:f>
        <x:v>977.7066666666666</x:v>
      </x:c>
      <x:c r="F50" s="30" t="n">
        <x:f>AVERAGE(B39:B50)</x:f>
        <x:v>1011.4616666666667</x:v>
      </x:c>
      <x:c r="G50" s="32" t="n">
        <x:v>0.3706933544385223</x:v>
      </x:c>
      <x:c r="H50" s="32" t="n">
        <x:f>B50/MAX($B$5:B50)-1</x:f>
        <x:v>-0.8018240175356193</x:v>
      </x:c>
      <x:c r="I50" s="34" t="str">
        <x:f>IF(B50&lt;1000,"Low",IF(B50&lt;1800,"Normal",IF(B50&lt;3000,"Elevated",IF(B50&lt;4500,"High","Extreme"))))</x:f>
        <x:v>Normal</x:v>
      </x:c>
      <x:c r="J50" s="35" t="str"/>
      <x:c r="K50" s="35" t="str">
        <x:v>Trend reconstruction</x:v>
      </x:c>
      <x:c r="L50" s="35" t="str">
        <x:v>Public chart / published-anchor interpolation</x:v>
      </x:c>
      <x:c r="M50" s="35" t="str">
        <x:v>https://en.sse.net.cn/indices/scfinew.jsp</x:v>
      </x:c>
      <x:c r="N50" s="34" t="n">
        <x:v>2023</x:v>
      </x:c>
    </x:row>
    <x:row r="51">
      <x:c r="A51" s="28" t="n">
        <x:v>45231</x:v>
      </x:c>
      <x:c r="B51" s="30" t="n">
        <x:v>993.21</x:v>
      </x:c>
      <x:c r="C51" s="32" t="n">
        <x:f>B51/B50-1</x:f>
        <x:v>-0.019148726051748</x:v>
      </x:c>
      <x:c r="D51" s="32" t="n">
        <x:f>B51/B39-1</x:f>
        <x:v>-0.1918551668022782</x:v>
      </x:c>
      <x:c r="E51" s="30" t="n">
        <x:f>AVERAGE(B49:B51)</x:f>
        <x:v>964.2199999999999</x:v>
      </x:c>
      <x:c r="F51" s="30" t="n">
        <x:f>AVERAGE(B40:B51)</x:f>
        <x:v>991.8125</x:v>
      </x:c>
      <x:c r="G51" s="32" t="n">
        <x:v>0.27322073439049144</x:v>
      </x:c>
      <x:c r="H51" s="32" t="n">
        <x:f>B51/MAX($B$5:B51)-1</x:f>
        <x:v>-0.8056188351338657</x:v>
      </x:c>
      <x:c r="I51" s="34" t="str">
        <x:f>IF(B51&lt;1000,"Low",IF(B51&lt;1800,"Normal",IF(B51&lt;3000,"Elevated",IF(B51&lt;4500,"High","Extreme"))))</x:f>
        <x:v>Low</x:v>
      </x:c>
      <x:c r="J51" s="35" t="str"/>
      <x:c r="K51" s="35" t="str">
        <x:v>Trend reconstruction</x:v>
      </x:c>
      <x:c r="L51" s="35" t="str">
        <x:v>Public chart / published-anchor interpolation</x:v>
      </x:c>
      <x:c r="M51" s="35" t="str">
        <x:v>https://en.sse.net.cn/indices/scfinew.jsp</x:v>
      </x:c>
      <x:c r="N51" s="34" t="n">
        <x:v>2023</x:v>
      </x:c>
    </x:row>
    <x:row r="52">
      <x:c r="A52" s="28" t="n">
        <x:v>45261</x:v>
      </x:c>
      <x:c r="B52" s="30" t="n">
        <x:v>1230.22</x:v>
      </x:c>
      <x:c r="C52" s="32" t="n">
        <x:f>B52/B51-1</x:f>
        <x:v>0.2386302997352021</x:v>
      </x:c>
      <x:c r="D52" s="32" t="n">
        <x:f>B52/B40-1</x:f>
        <x:v>0.11075797932373255</x:v>
      </x:c>
      <x:c r="E52" s="30" t="n">
        <x:f>AVERAGE(B50:B52)</x:f>
        <x:v>1078.6766666666665</x:v>
      </x:c>
      <x:c r="F52" s="30" t="n">
        <x:f>AVERAGE(B41:B52)</x:f>
        <x:v>1002.035</x:v>
      </x:c>
      <x:c r="G52" s="32" t="n">
        <x:v>0.3494523657234059</x:v>
      </x:c>
      <x:c r="H52" s="32" t="n">
        <x:f>B52/MAX($B$5:B52)-1</x:f>
        <x:v>-0.7592335994989823</x:v>
      </x:c>
      <x:c r="I52" s="34" t="str">
        <x:f>IF(B52&lt;1000,"Low",IF(B52&lt;1800,"Normal",IF(B52&lt;3000,"Elevated",IF(B52&lt;4500,"High","Extreme"))))</x:f>
        <x:v>Normal</x:v>
      </x:c>
      <x:c r="J52" s="35" t="str"/>
      <x:c r="K52" s="35" t="str">
        <x:v>Published monthly snapshot</x:v>
      </x:c>
      <x:c r="L52" s="35" t="str">
        <x:v>Cello Square</x:v>
      </x:c>
      <x:c r="M52" s="35" t="str">
        <x:v>https://www.cello-square.com/en/blog/view-1405.do</x:v>
      </x:c>
      <x:c r="N52" s="34" t="n">
        <x:v>2023</x:v>
      </x:c>
    </x:row>
    <x:row r="53">
      <x:c r="A53" s="28" t="n">
        <x:v>45292</x:v>
      </x:c>
      <x:c r="B53" s="30" t="n">
        <x:v>2130.34</x:v>
      </x:c>
      <x:c r="C53" s="32" t="n">
        <x:f>B53/B52-1</x:f>
        <x:v>0.7316740095267513</x:v>
      </x:c>
      <x:c r="D53" s="32" t="n">
        <x:f>B53/B41-1</x:f>
        <x:v>1.0468883615015807</x:v>
      </x:c>
      <x:c r="E53" s="30" t="n">
        <x:f>AVERAGE(B51:B53)</x:f>
        <x:v>1451.256666666667</x:v>
      </x:c>
      <x:c r="F53" s="30" t="n">
        <x:f>AVERAGE(B42:B53)</x:f>
        <x:v>1092.8325</x:v>
      </x:c>
      <x:c r="G53" s="32" t="n">
        <x:v>0.7615552010399825</x:v>
      </x:c>
      <x:c r="H53" s="32" t="n">
        <x:f>B53/MAX($B$5:B53)-1</x:f>
        <x:v>-0.5830710818850791</x:v>
      </x:c>
      <x:c r="I53" s="34" t="str">
        <x:f>IF(B53&lt;1000,"Low",IF(B53&lt;1800,"Normal",IF(B53&lt;3000,"Elevated",IF(B53&lt;4500,"High","Extreme"))))</x:f>
        <x:v>Elevated</x:v>
      </x:c>
      <x:c r="J53" s="35" t="str">
        <x:v>Red Sea rerouting</x:v>
      </x:c>
      <x:c r="K53" s="35" t="str">
        <x:v>Published monthly snapshot</x:v>
      </x:c>
      <x:c r="L53" s="35" t="str">
        <x:v>Cello Square</x:v>
      </x:c>
      <x:c r="M53" s="35" t="str">
        <x:v>https://www.cello-square.com/en/blog/view-1405.do</x:v>
      </x:c>
      <x:c r="N53" s="34" t="n">
        <x:v>2024</x:v>
      </x:c>
    </x:row>
    <x:row r="54">
      <x:c r="A54" s="28" t="n">
        <x:v>45323</x:v>
      </x:c>
      <x:c r="B54" s="30" t="n">
        <x:v>2216</x:v>
      </x:c>
      <x:c r="C54" s="32" t="n">
        <x:f>B54/B53-1</x:f>
        <x:v>0.04020954401644805</x:v>
      </x:c>
      <x:c r="D54" s="32" t="n">
        <x:f>B54/B42-1</x:f>
        <x:v>1.340812101238011</x:v>
      </x:c>
      <x:c r="E54" s="30" t="n">
        <x:f>AVERAGE(B52:B54)</x:f>
        <x:v>1858.8533333333335</x:v>
      </x:c>
      <x:c r="F54" s="30" t="n">
        <x:f>AVERAGE(B43:B54)</x:f>
        <x:v>1198.6091666666666</x:v>
      </x:c>
      <x:c r="G54" s="32" t="n">
        <x:v>0.7424195922852286</x:v>
      </x:c>
      <x:c r="H54" s="32" t="n">
        <x:f>B54/MAX($B$5:B54)-1</x:f>
        <x:v>-0.5663065602004071</x:v>
      </x:c>
      <x:c r="I54" s="34" t="str">
        <x:f>IF(B54&lt;1000,"Low",IF(B54&lt;1800,"Normal",IF(B54&lt;3000,"Elevated",IF(B54&lt;4500,"High","Extreme"))))</x:f>
        <x:v>Elevated</x:v>
      </x:c>
      <x:c r="J54" s="35" t="str"/>
      <x:c r="K54" s="35" t="str">
        <x:v>Trend reconstruction</x:v>
      </x:c>
      <x:c r="L54" s="35" t="str">
        <x:v>Public chart / published-anchor interpolation</x:v>
      </x:c>
      <x:c r="M54" s="35" t="str">
        <x:v>https://en.sse.net.cn/indices/scfinew.jsp</x:v>
      </x:c>
      <x:c r="N54" s="34" t="n">
        <x:v>2024</x:v>
      </x:c>
    </x:row>
    <x:row r="55">
      <x:c r="A55" s="28" t="n">
        <x:v>45352</x:v>
      </x:c>
      <x:c r="B55" s="30" t="n">
        <x:v>1730</x:v>
      </x:c>
      <x:c r="C55" s="32" t="n">
        <x:f>B55/B54-1</x:f>
        <x:v>-0.21931407942238268</x:v>
      </x:c>
      <x:c r="D55" s="32" t="n">
        <x:f>B55/B43-1</x:f>
        <x:v>0.8727402628331422</x:v>
      </x:c>
      <x:c r="E55" s="30" t="n">
        <x:f>AVERAGE(B53:B55)</x:f>
        <x:v>2025.4466666666667</x:v>
      </x:c>
      <x:c r="F55" s="30" t="n">
        <x:f>AVERAGE(B44:B55)</x:f>
        <x:v>1265.7941666666668</x:v>
      </x:c>
      <x:c r="G55" s="32" t="n">
        <x:v>0.7942612569167955</x:v>
      </x:c>
      <x:c r="H55" s="32" t="n">
        <x:f>B55/MAX($B$5:B55)-1</x:f>
        <x:v>-0.6614216377015814</x:v>
      </x:c>
      <x:c r="I55" s="34" t="str">
        <x:f>IF(B55&lt;1000,"Low",IF(B55&lt;1800,"Normal",IF(B55&lt;3000,"Elevated",IF(B55&lt;4500,"High","Extreme"))))</x:f>
        <x:v>Normal</x:v>
      </x:c>
      <x:c r="J55" s="35" t="str"/>
      <x:c r="K55" s="35" t="str">
        <x:v>Trend reconstruction</x:v>
      </x:c>
      <x:c r="L55" s="35" t="str">
        <x:v>Public chart / published-anchor interpolation</x:v>
      </x:c>
      <x:c r="M55" s="35" t="str">
        <x:v>https://en.sse.net.cn/indices/scfinew.jsp</x:v>
      </x:c>
      <x:c r="N55" s="34" t="n">
        <x:v>2024</x:v>
      </x:c>
    </x:row>
    <x:row r="56">
      <x:c r="A56" s="28" t="n">
        <x:v>45383</x:v>
      </x:c>
      <x:c r="B56" s="30" t="n">
        <x:v>1776</x:v>
      </x:c>
      <x:c r="C56" s="32" t="n">
        <x:f>B56/B55-1</x:f>
        <x:v>0.026589595375722475</x:v>
      </x:c>
      <x:c r="D56" s="32" t="n">
        <x:f>B56/B44-1</x:f>
        <x:v>0.7764796495053665</x:v>
      </x:c>
      <x:c r="E56" s="30" t="n">
        <x:f>AVERAGE(B54:B56)</x:f>
        <x:v>1907.3333333333333</x:v>
      </x:c>
      <x:c r="F56" s="30" t="n">
        <x:f>AVERAGE(B45:B56)</x:f>
        <x:v>1330.4833333333333</x:v>
      </x:c>
      <x:c r="G56" s="32" t="n">
        <x:v>0.7954883095851198</x:v>
      </x:c>
      <x:c r="H56" s="32" t="n">
        <x:f>B56/MAX($B$5:B56)-1</x:f>
        <x:v>-0.6524189760450916</x:v>
      </x:c>
      <x:c r="I56" s="34" t="str">
        <x:f>IF(B56&lt;1000,"Low",IF(B56&lt;1800,"Normal",IF(B56&lt;3000,"Elevated",IF(B56&lt;4500,"High","Extreme"))))</x:f>
        <x:v>Normal</x:v>
      </x:c>
      <x:c r="J56" s="35" t="str"/>
      <x:c r="K56" s="35" t="str">
        <x:v>Trend reconstruction</x:v>
      </x:c>
      <x:c r="L56" s="35" t="str">
        <x:v>Public chart / published-anchor interpolation</x:v>
      </x:c>
      <x:c r="M56" s="35" t="str">
        <x:v>https://en.sse.net.cn/indices/scfinew.jsp</x:v>
      </x:c>
      <x:c r="N56" s="34" t="n">
        <x:v>2024</x:v>
      </x:c>
    </x:row>
    <x:row r="57">
      <x:c r="A57" s="28" t="n">
        <x:v>45413</x:v>
      </x:c>
      <x:c r="B57" s="30" t="n">
        <x:v>3044.77</x:v>
      </x:c>
      <x:c r="C57" s="32" t="n">
        <x:f>B57/B56-1</x:f>
        <x:v>0.7143975225225225</x:v>
      </x:c>
      <x:c r="D57" s="32" t="n">
        <x:f>B57/B45-1</x:f>
        <x:v>2.1294208335474587</x:v>
      </x:c>
      <x:c r="E57" s="30" t="n">
        <x:f>AVERAGE(B55:B57)</x:f>
        <x:v>2183.59</x:v>
      </x:c>
      <x:c r="F57" s="30" t="n">
        <x:f>AVERAGE(B46:B57)</x:f>
        <x:v>1503.135</x:v>
      </x:c>
      <x:c r="G57" s="32" t="n">
        <x:v>0.9967282000656312</x:v>
      </x:c>
      <x:c r="H57" s="32" t="n">
        <x:f>B57/MAX($B$5:B57)-1</x:f>
        <x:v>-0.4041079536558635</x:v>
      </x:c>
      <x:c r="I57" s="34" t="str">
        <x:f>IF(B57&lt;1000,"Low",IF(B57&lt;1800,"Normal",IF(B57&lt;3000,"Elevated",IF(B57&lt;4500,"High","Extreme"))))</x:f>
        <x:v>High</x:v>
      </x:c>
      <x:c r="J57" s="35" t="str"/>
      <x:c r="K57" s="35" t="str">
        <x:v>Trend reconstruction</x:v>
      </x:c>
      <x:c r="L57" s="35" t="str">
        <x:v>Public chart / published-anchor interpolation</x:v>
      </x:c>
      <x:c r="M57" s="35" t="str">
        <x:v>https://en.sse.net.cn/indices/scfinew.jsp</x:v>
      </x:c>
      <x:c r="N57" s="34" t="n">
        <x:v>2024</x:v>
      </x:c>
    </x:row>
    <x:row r="58">
      <x:c r="A58" s="28" t="n">
        <x:v>45444</x:v>
      </x:c>
      <x:c r="B58" s="30" t="n">
        <x:v>3438.5</x:v>
      </x:c>
      <x:c r="C58" s="32" t="n">
        <x:f>B58/B57-1</x:f>
        <x:v>0.12931354420859376</x:v>
      </x:c>
      <x:c r="D58" s="32" t="n">
        <x:f>B58/B46-1</x:f>
        <x:v>2.605809563758389</x:v>
      </x:c>
      <x:c r="E58" s="30" t="n">
        <x:f>AVERAGE(B56:B58)</x:f>
        <x:v>2753.09</x:v>
      </x:c>
      <x:c r="F58" s="30" t="n">
        <x:f>AVERAGE(B47:B58)</x:f>
        <x:v>1710.21</x:v>
      </x:c>
      <x:c r="G58" s="32" t="n">
        <x:v>0.9842423187129481</x:v>
      </x:c>
      <x:c r="H58" s="32" t="n">
        <x:f>B58/MAX($B$5:B58)-1</x:f>
        <x:v>-0.3270510411773916</x:v>
      </x:c>
      <x:c r="I58" s="34" t="str">
        <x:f>IF(B58&lt;1000,"Low",IF(B58&lt;1800,"Normal",IF(B58&lt;3000,"Elevated",IF(B58&lt;4500,"High","Extreme"))))</x:f>
        <x:v>High</x:v>
      </x:c>
      <x:c r="J58" s="35" t="str"/>
      <x:c r="K58" s="35" t="str">
        <x:v>Published monthly snapshot</x:v>
      </x:c>
      <x:c r="L58" s="35" t="str">
        <x:v>Cello Square</x:v>
      </x:c>
      <x:c r="M58" s="35" t="str">
        <x:v>https://www.cello-square.com/en/blog/view-1405.do</x:v>
      </x:c>
      <x:c r="N58" s="34" t="n">
        <x:v>2024</x:v>
      </x:c>
    </x:row>
    <x:row r="59">
      <x:c r="A59" s="28" t="n">
        <x:v>45474</x:v>
      </x:c>
      <x:c r="B59" s="30" t="n">
        <x:v>3650.37</x:v>
      </x:c>
      <x:c r="C59" s="32" t="n">
        <x:f>B59/B58-1</x:f>
        <x:v>0.061616984150065335</x:v>
      </x:c>
      <x:c r="D59" s="32" t="n">
        <x:f>B59/B47-1</x:f>
        <x:v>2.5428102799021706</x:v>
      </x:c>
      <x:c r="E59" s="30" t="n">
        <x:f>AVERAGE(B57:B59)</x:f>
        <x:v>3377.8799999999997</x:v>
      </x:c>
      <x:c r="F59" s="30" t="n">
        <x:f>AVERAGE(B48:B59)</x:f>
        <x:v>1928.5441666666666</x:v>
      </x:c>
      <x:c r="G59" s="32" t="n">
        <x:v>0.9856218558586546</x:v>
      </x:c>
      <x:c r="H59" s="32" t="n">
        <x:f>B59/MAX($B$5:B59)-1</x:f>
        <x:v>-0.285585955847816</x:v>
      </x:c>
      <x:c r="I59" s="34" t="str">
        <x:f>IF(B59&lt;1000,"Low",IF(B59&lt;1800,"Normal",IF(B59&lt;3000,"Elevated",IF(B59&lt;4500,"High","Extreme"))))</x:f>
        <x:v>High</x:v>
      </x:c>
      <x:c r="J59" s="35" t="str">
        <x:v>Red Sea + peak-season high</x:v>
      </x:c>
      <x:c r="K59" s="35" t="str">
        <x:v>Published monthly snapshot</x:v>
      </x:c>
      <x:c r="L59" s="35" t="str">
        <x:v>Cello Square</x:v>
      </x:c>
      <x:c r="M59" s="35" t="str">
        <x:v>https://www.cello-square.com/en/blog/view-1405.do</x:v>
      </x:c>
      <x:c r="N59" s="34" t="n">
        <x:v>2024</x:v>
      </x:c>
    </x:row>
    <x:row r="60">
      <x:c r="A60" s="28" t="n">
        <x:v>45505</x:v>
      </x:c>
      <x:c r="B60" s="30" t="n">
        <x:v>3281</x:v>
      </x:c>
      <x:c r="C60" s="32" t="n">
        <x:f>B60/B59-1</x:f>
        <x:v>-0.10118700296134364</x:v>
      </x:c>
      <x:c r="D60" s="32" t="n">
        <x:f>B60/B48-1</x:f>
        <x:v>2.174127139222382</x:v>
      </x:c>
      <x:c r="E60" s="30" t="n">
        <x:f>AVERAGE(B58:B60)</x:f>
        <x:v>3456.623333333333</x:v>
      </x:c>
      <x:c r="F60" s="30" t="n">
        <x:f>AVERAGE(B49:B60)</x:f>
        <x:v>2115.8216666666667</x:v>
      </x:c>
      <x:c r="G60" s="32" t="n">
        <x:v>1.0052219779563099</x:v>
      </x:c>
      <x:c r="H60" s="32" t="n">
        <x:f>B60/MAX($B$5:B60)-1</x:f>
        <x:v>-0.3578753718490685</x:v>
      </x:c>
      <x:c r="I60" s="34" t="str">
        <x:f>IF(B60&lt;1000,"Low",IF(B60&lt;1800,"Normal",IF(B60&lt;3000,"Elevated",IF(B60&lt;4500,"High","Extreme"))))</x:f>
        <x:v>High</x:v>
      </x:c>
      <x:c r="J60" s="35" t="str"/>
      <x:c r="K60" s="35" t="str">
        <x:v>Trend reconstruction</x:v>
      </x:c>
      <x:c r="L60" s="35" t="str">
        <x:v>Public chart / published-anchor interpolation</x:v>
      </x:c>
      <x:c r="M60" s="35" t="str">
        <x:v>https://en.sse.net.cn/indices/scfinew.jsp</x:v>
      </x:c>
      <x:c r="N60" s="34" t="n">
        <x:v>2024</x:v>
      </x:c>
    </x:row>
    <x:row r="61">
      <x:c r="A61" s="28" t="n">
        <x:v>45536</x:v>
      </x:c>
      <x:c r="B61" s="30" t="n">
        <x:v>2135</x:v>
      </x:c>
      <x:c r="C61" s="32" t="n">
        <x:f>B61/B60-1</x:f>
        <x:v>-0.3492837549527583</x:v>
      </x:c>
      <x:c r="D61" s="32" t="n">
        <x:f>B61/B49-1</x:f>
        <x:v>1.4073969667925805</x:v>
      </x:c>
      <x:c r="E61" s="30" t="n">
        <x:f>AVERAGE(B59:B61)</x:f>
        <x:v>3022.123333333333</x:v>
      </x:c>
      <x:c r="F61" s="30" t="n">
        <x:f>AVERAGE(B50:B61)</x:f>
        <x:v>2219.8341666666665</x:v>
      </x:c>
      <x:c r="G61" s="32" t="n">
        <x:v>1.078920641970779</x:v>
      </x:c>
      <x:c r="H61" s="32" t="n">
        <x:f>B61/MAX($B$5:B61)-1</x:f>
        <x:v>-0.5821590731172694</x:v>
      </x:c>
      <x:c r="I61" s="34" t="str">
        <x:f>IF(B61&lt;1000,"Low",IF(B61&lt;1800,"Normal",IF(B61&lt;3000,"Elevated",IF(B61&lt;4500,"High","Extreme"))))</x:f>
        <x:v>Elevated</x:v>
      </x:c>
      <x:c r="J61" s="35" t="str"/>
      <x:c r="K61" s="35" t="str">
        <x:v>Trend reconstruction</x:v>
      </x:c>
      <x:c r="L61" s="35" t="str">
        <x:v>Public chart / published-anchor interpolation</x:v>
      </x:c>
      <x:c r="M61" s="35" t="str">
        <x:v>https://en.sse.net.cn/indices/scfinew.jsp</x:v>
      </x:c>
      <x:c r="N61" s="34" t="n">
        <x:v>2024</x:v>
      </x:c>
    </x:row>
    <x:row r="62">
      <x:c r="A62" s="28" t="n">
        <x:v>45566</x:v>
      </x:c>
      <x:c r="B62" s="30" t="n">
        <x:v>2062</x:v>
      </x:c>
      <x:c r="C62" s="32" t="n">
        <x:f>B62/B61-1</x:f>
        <x:v>-0.03419203747072597</x:v>
      </x:c>
      <x:c r="D62" s="32" t="n">
        <x:f>B62/B50-1</x:f>
        <x:v>1.036342089670156</x:v>
      </x:c>
      <x:c r="E62" s="30" t="n">
        <x:f>AVERAGE(B60:B62)</x:f>
        <x:v>2492.6666666666665</x:v>
      </x:c>
      <x:c r="F62" s="30" t="n">
        <x:f>AVERAGE(B51:B62)</x:f>
        <x:v>2307.284166666667</x:v>
      </x:c>
      <x:c r="G62" s="32" t="n">
        <x:v>1.0878776134676578</x:v>
      </x:c>
      <x:c r="H62" s="32" t="n">
        <x:f>B62/MAX($B$5:B62)-1</x:f>
        <x:v>-0.5964459057460467</x:v>
      </x:c>
      <x:c r="I62" s="34" t="str">
        <x:f>IF(B62&lt;1000,"Low",IF(B62&lt;1800,"Normal",IF(B62&lt;3000,"Elevated",IF(B62&lt;4500,"High","Extreme"))))</x:f>
        <x:v>Elevated</x:v>
      </x:c>
      <x:c r="J62" s="35" t="str"/>
      <x:c r="K62" s="35" t="str">
        <x:v>Trend reconstruction</x:v>
      </x:c>
      <x:c r="L62" s="35" t="str">
        <x:v>Public chart / published-anchor interpolation</x:v>
      </x:c>
      <x:c r="M62" s="35" t="str">
        <x:v>https://en.sse.net.cn/indices/scfinew.jsp</x:v>
      </x:c>
      <x:c r="N62" s="34" t="n">
        <x:v>2024</x:v>
      </x:c>
    </x:row>
    <x:row r="63">
      <x:c r="A63" s="28" t="n">
        <x:v>45597</x:v>
      </x:c>
      <x:c r="B63" s="30" t="n">
        <x:v>2256</x:v>
      </x:c>
      <x:c r="C63" s="32" t="n">
        <x:f>B63/B62-1</x:f>
        <x:v>0.09408341416100874</x:v>
      </x:c>
      <x:c r="D63" s="32" t="n">
        <x:f>B63/B51-1</x:f>
        <x:v>1.2714229619113784</x:v>
      </x:c>
      <x:c r="E63" s="30" t="n">
        <x:f>AVERAGE(B61:B63)</x:f>
        <x:v>2151</x:v>
      </x:c>
      <x:c r="F63" s="30" t="n">
        <x:f>AVERAGE(B52:B63)</x:f>
        <x:v>2412.516666666667</x:v>
      </x:c>
      <x:c r="G63" s="32" t="n">
        <x:v>1.080686581661515</x:v>
      </x:c>
      <x:c r="H63" s="32" t="n">
        <x:f>B63/MAX($B$5:B63)-1</x:f>
        <x:v>-0.5584781587599812</x:v>
      </x:c>
      <x:c r="I63" s="34" t="str">
        <x:f>IF(B63&lt;1000,"Low",IF(B63&lt;1800,"Normal",IF(B63&lt;3000,"Elevated",IF(B63&lt;4500,"High","Extreme"))))</x:f>
        <x:v>Elevated</x:v>
      </x:c>
      <x:c r="J63" s="35" t="str"/>
      <x:c r="K63" s="35" t="str">
        <x:v>Trend reconstruction</x:v>
      </x:c>
      <x:c r="L63" s="35" t="str">
        <x:v>Public chart / published-anchor interpolation</x:v>
      </x:c>
      <x:c r="M63" s="35" t="str">
        <x:v>https://en.sse.net.cn/indices/scfinew.jsp</x:v>
      </x:c>
      <x:c r="N63" s="34" t="n">
        <x:v>2024</x:v>
      </x:c>
    </x:row>
    <x:row r="64">
      <x:c r="A64" s="28" t="n">
        <x:v>45627</x:v>
      </x:c>
      <x:c r="B64" s="30" t="n">
        <x:v>2460</x:v>
      </x:c>
      <x:c r="C64" s="32" t="n">
        <x:f>B64/B63-1</x:f>
        <x:v>0.09042553191489366</x:v>
      </x:c>
      <x:c r="D64" s="32" t="n">
        <x:f>B64/B52-1</x:f>
        <x:v>0.999642340394401</x:v>
      </x:c>
      <x:c r="E64" s="30" t="n">
        <x:f>AVERAGE(B62:B64)</x:f>
        <x:v>2259.3333333333335</x:v>
      </x:c>
      <x:c r="F64" s="30" t="n">
        <x:f>AVERAGE(B53:B64)</x:f>
        <x:v>2514.9983333333334</x:v>
      </x:c>
      <x:c r="G64" s="32" t="n">
        <x:v>1.072473871630814</x:v>
      </x:c>
      <x:c r="H64" s="32" t="n">
        <x:f>B64/MAX($B$5:B64)-1</x:f>
        <x:v>-0.5185533114138093</x:v>
      </x:c>
      <x:c r="I64" s="34" t="str">
        <x:f>IF(B64&lt;1000,"Low",IF(B64&lt;1800,"Normal",IF(B64&lt;3000,"Elevated",IF(B64&lt;4500,"High","Extreme"))))</x:f>
        <x:v>Elevated</x:v>
      </x:c>
      <x:c r="J64" s="35" t="str"/>
      <x:c r="K64" s="35" t="str">
        <x:v>Trend reconstruction</x:v>
      </x:c>
      <x:c r="L64" s="35" t="str">
        <x:v>Public chart / published-anchor interpolation</x:v>
      </x:c>
      <x:c r="M64" s="35" t="str">
        <x:v>https://en.sse.net.cn/indices/scfinew.jsp</x:v>
      </x:c>
      <x:c r="N64" s="34" t="n">
        <x:v>2024</x:v>
      </x:c>
    </x:row>
    <x:row r="65">
      <x:c r="A65" s="28" t="n">
        <x:v>45658</x:v>
      </x:c>
      <x:c r="B65" s="30" t="n">
        <x:v>2100</x:v>
      </x:c>
      <x:c r="C65" s="32" t="n">
        <x:f>B65/B64-1</x:f>
        <x:v>-0.14634146341463417</x:v>
      </x:c>
      <x:c r="D65" s="32" t="n">
        <x:f>B65/B53-1</x:f>
        <x:v>-0.014241858107156724</x:v>
      </x:c>
      <x:c r="E65" s="30" t="n">
        <x:f>AVERAGE(B63:B65)</x:f>
        <x:v>2272</x:v>
      </x:c>
      <x:c r="F65" s="30" t="n">
        <x:f>AVERAGE(B54:B65)</x:f>
        <x:v>2512.47</x:v>
      </x:c>
      <x:c r="G65" s="32" t="n">
        <x:v>0.8633290595059412</x:v>
      </x:c>
      <x:c r="H65" s="32" t="n">
        <x:f>B65/MAX($B$5:B65)-1</x:f>
        <x:v>-0.5890089243776422</x:v>
      </x:c>
      <x:c r="I65" s="34" t="str">
        <x:f>IF(B65&lt;1000,"Low",IF(B65&lt;1800,"Normal",IF(B65&lt;3000,"Elevated",IF(B65&lt;4500,"High","Extreme"))))</x:f>
        <x:v>Elevated</x:v>
      </x:c>
      <x:c r="J65" s="35" t="str"/>
      <x:c r="K65" s="35" t="str">
        <x:v>Trend reconstruction</x:v>
      </x:c>
      <x:c r="L65" s="35" t="str">
        <x:v>Public chart / published-anchor interpolation</x:v>
      </x:c>
      <x:c r="M65" s="35" t="str">
        <x:v>https://en.sse.net.cn/indices/scfinew.jsp</x:v>
      </x:c>
      <x:c r="N65" s="34" t="n">
        <x:v>2025</x:v>
      </x:c>
    </x:row>
    <x:row r="66">
      <x:c r="A66" s="28" t="n">
        <x:v>45689</x:v>
      </x:c>
      <x:c r="B66" s="30" t="n">
        <x:v>1750</x:v>
      </x:c>
      <x:c r="C66" s="32" t="n">
        <x:f>B66/B65-1</x:f>
        <x:v>-0.16666666666666663</x:v>
      </x:c>
      <x:c r="D66" s="32" t="n">
        <x:f>B66/B54-1</x:f>
        <x:v>-0.21028880866425992</x:v>
      </x:c>
      <x:c r="E66" s="30" t="n">
        <x:f>AVERAGE(B64:B66)</x:f>
        <x:v>2103.3333333333335</x:v>
      </x:c>
      <x:c r="F66" s="30" t="n">
        <x:f>AVERAGE(B55:B66)</x:f>
        <x:v>2473.6366666666668</x:v>
      </x:c>
      <x:c r="G66" s="32" t="n">
        <x:v>0.8823226161746026</x:v>
      </x:c>
      <x:c r="H66" s="32" t="n">
        <x:f>B66/MAX($B$5:B66)-1</x:f>
        <x:v>-0.6575074369813685</x:v>
      </x:c>
      <x:c r="I66" s="34" t="str">
        <x:f>IF(B66&lt;1000,"Low",IF(B66&lt;1800,"Normal",IF(B66&lt;3000,"Elevated",IF(B66&lt;4500,"High","Extreme"))))</x:f>
        <x:v>Normal</x:v>
      </x:c>
      <x:c r="J66" s="35" t="str"/>
      <x:c r="K66" s="35" t="str">
        <x:v>Trend reconstruction</x:v>
      </x:c>
      <x:c r="L66" s="35" t="str">
        <x:v>Public chart / published-anchor interpolation</x:v>
      </x:c>
      <x:c r="M66" s="35" t="str">
        <x:v>https://en.sse.net.cn/indices/scfinew.jsp</x:v>
      </x:c>
      <x:c r="N66" s="34" t="n">
        <x:v>2025</x:v>
      </x:c>
    </x:row>
    <x:row r="67">
      <x:c r="A67" s="28" t="n">
        <x:v>45717</x:v>
      </x:c>
      <x:c r="B67" s="30" t="n">
        <x:v>1350</x:v>
      </x:c>
      <x:c r="C67" s="32" t="n">
        <x:f>B67/B66-1</x:f>
        <x:v>-0.22857142857142854</x:v>
      </x:c>
      <x:c r="D67" s="32" t="n">
        <x:f>B67/B55-1</x:f>
        <x:v>-0.21965317919075145</x:v>
      </x:c>
      <x:c r="E67" s="30" t="n">
        <x:f>AVERAGE(B65:B67)</x:f>
        <x:v>1733.3333333333333</x:v>
      </x:c>
      <x:c r="F67" s="30" t="n">
        <x:f>AVERAGE(B56:B67)</x:f>
        <x:v>2441.97</x:v>
      </x:c>
      <x:c r="G67" s="32" t="n">
        <x:v>0.884751783032509</x:v>
      </x:c>
      <x:c r="H67" s="32" t="n">
        <x:f>B67/MAX($B$5:B67)-1</x:f>
        <x:v>-0.7357914513856271</x:v>
      </x:c>
      <x:c r="I67" s="34" t="str">
        <x:f>IF(B67&lt;1000,"Low",IF(B67&lt;1800,"Normal",IF(B67&lt;3000,"Elevated",IF(B67&lt;4500,"High","Extreme"))))</x:f>
        <x:v>Normal</x:v>
      </x:c>
      <x:c r="J67" s="35" t="str"/>
      <x:c r="K67" s="35" t="str">
        <x:v>Trend reconstruction</x:v>
      </x:c>
      <x:c r="L67" s="35" t="str">
        <x:v>Public chart / published-anchor interpolation</x:v>
      </x:c>
      <x:c r="M67" s="35" t="str">
        <x:v>https://en.sse.net.cn/indices/scfinew.jsp</x:v>
      </x:c>
      <x:c r="N67" s="34" t="n">
        <x:v>2025</x:v>
      </x:c>
    </x:row>
    <x:row r="68">
      <x:c r="A68" s="28" t="n">
        <x:v>45748</x:v>
      </x:c>
      <x:c r="B68" s="30" t="n">
        <x:v>1250</x:v>
      </x:c>
      <x:c r="C68" s="32" t="n">
        <x:f>B68/B67-1</x:f>
        <x:v>-0.07407407407407407</x:v>
      </x:c>
      <x:c r="D68" s="32" t="n">
        <x:f>B68/B56-1</x:f>
        <x:v>-0.2961711711711712</x:v>
      </x:c>
      <x:c r="E68" s="30" t="n">
        <x:f>AVERAGE(B66:B68)</x:f>
        <x:v>1450</x:v>
      </x:c>
      <x:c r="F68" s="30" t="n">
        <x:f>AVERAGE(B57:B68)</x:f>
        <x:v>2398.1366666666668</x:v>
      </x:c>
      <x:c r="G68" s="32" t="n">
        <x:v>0.8878255990396923</x:v>
      </x:c>
      <x:c r="H68" s="32" t="n">
        <x:f>B68/MAX($B$5:B68)-1</x:f>
        <x:v>-0.7553624549866917</x:v>
      </x:c>
      <x:c r="I68" s="34" t="str">
        <x:f>IF(B68&lt;1000,"Low",IF(B68&lt;1800,"Normal",IF(B68&lt;3000,"Elevated",IF(B68&lt;4500,"High","Extreme"))))</x:f>
        <x:v>Normal</x:v>
      </x:c>
      <x:c r="J68" s="35" t="str"/>
      <x:c r="K68" s="35" t="str">
        <x:v>Trend reconstruction</x:v>
      </x:c>
      <x:c r="L68" s="35" t="str">
        <x:v>Public chart / published-anchor interpolation</x:v>
      </x:c>
      <x:c r="M68" s="35" t="str">
        <x:v>https://en.sse.net.cn/indices/scfinew.jsp</x:v>
      </x:c>
      <x:c r="N68" s="34" t="n">
        <x:v>2025</x:v>
      </x:c>
    </x:row>
    <x:row r="69">
      <x:c r="A69" s="28" t="n">
        <x:v>45778</x:v>
      </x:c>
      <x:c r="B69" s="30" t="n">
        <x:v>1750</x:v>
      </x:c>
      <x:c r="C69" s="32" t="n">
        <x:f>B69/B68-1</x:f>
        <x:v>0.3999999999999999</x:v>
      </x:c>
      <x:c r="D69" s="32" t="n">
        <x:f>B69/B57-1</x:f>
        <x:v>-0.4252439428922382</x:v>
      </x:c>
      <x:c r="E69" s="30" t="n">
        <x:f>AVERAGE(B67:B69)</x:f>
        <x:v>1450</x:v>
      </x:c>
      <x:c r="F69" s="30" t="n">
        <x:f>AVERAGE(B58:B69)</x:f>
        <x:v>2290.2391666666667</x:v>
      </x:c>
      <x:c r="G69" s="32" t="n">
        <x:v>0.6550451939200628</x:v>
      </x:c>
      <x:c r="H69" s="32" t="n">
        <x:f>B69/MAX($B$5:B69)-1</x:f>
        <x:v>-0.6575074369813685</x:v>
      </x:c>
      <x:c r="I69" s="34" t="str">
        <x:f>IF(B69&lt;1000,"Low",IF(B69&lt;1800,"Normal",IF(B69&lt;3000,"Elevated",IF(B69&lt;4500,"High","Extreme"))))</x:f>
        <x:v>Normal</x:v>
      </x:c>
      <x:c r="J69" s="35" t="str"/>
      <x:c r="K69" s="35" t="str">
        <x:v>Trend reconstruction</x:v>
      </x:c>
      <x:c r="L69" s="35" t="str">
        <x:v>Public chart / published-anchor interpolation</x:v>
      </x:c>
      <x:c r="M69" s="35" t="str">
        <x:v>https://en.sse.net.cn/indices/scfinew.jsp</x:v>
      </x:c>
      <x:c r="N69" s="34" t="n">
        <x:v>2025</x:v>
      </x:c>
    </x:row>
    <x:row r="70">
      <x:c r="A70" s="28" t="n">
        <x:v>45809</x:v>
      </x:c>
      <x:c r="B70" s="30" t="n">
        <x:v>2100</x:v>
      </x:c>
      <x:c r="C70" s="32" t="n">
        <x:f>B70/B69-1</x:f>
        <x:v>0.19999999999999996</x:v>
      </x:c>
      <x:c r="D70" s="32" t="n">
        <x:f>B70/B58-1</x:f>
        <x:v>-0.38926857641413404</x:v>
      </x:c>
      <x:c r="E70" s="30" t="n">
        <x:f>AVERAGE(B68:B70)</x:f>
        <x:v>1700</x:v>
      </x:c>
      <x:c r="F70" s="30" t="n">
        <x:f>AVERAGE(B59:B70)</x:f>
        <x:v>2178.6974999999998</x:v>
      </x:c>
      <x:c r="G70" s="32" t="n">
        <x:v>0.6751097926855397</x:v>
      </x:c>
      <x:c r="H70" s="32" t="n">
        <x:f>B70/MAX($B$5:B70)-1</x:f>
        <x:v>-0.5890089243776422</x:v>
      </x:c>
      <x:c r="I70" s="34" t="str">
        <x:f>IF(B70&lt;1000,"Low",IF(B70&lt;1800,"Normal",IF(B70&lt;3000,"Elevated",IF(B70&lt;4500,"High","Extreme"))))</x:f>
        <x:v>Elevated</x:v>
      </x:c>
      <x:c r="J70" s="35" t="str">
        <x:v>Tariff-truce front-loading</x:v>
      </x:c>
      <x:c r="K70" s="35" t="str">
        <x:v>Trend reconstruction</x:v>
      </x:c>
      <x:c r="L70" s="35" t="str">
        <x:v>Public chart / published-anchor interpolation</x:v>
      </x:c>
      <x:c r="M70" s="35" t="str">
        <x:v>https://en.sse.net.cn/indices/scfinew.jsp</x:v>
      </x:c>
      <x:c r="N70" s="34" t="n">
        <x:v>2025</x:v>
      </x:c>
    </x:row>
    <x:row r="71">
      <x:c r="A71" s="28" t="n">
        <x:v>45839</x:v>
      </x:c>
      <x:c r="B71" s="30" t="n">
        <x:v>1800</x:v>
      </x:c>
      <x:c r="C71" s="32" t="n">
        <x:f>B71/B70-1</x:f>
        <x:v>-0.1428571428571429</x:v>
      </x:c>
      <x:c r="D71" s="32" t="n">
        <x:f>B71/B59-1</x:f>
        <x:v>-0.5068993006188414</x:v>
      </x:c>
      <x:c r="E71" s="30" t="n">
        <x:f>AVERAGE(B69:B71)</x:f>
        <x:v>1883.3333333333333</x:v>
      </x:c>
      <x:c r="F71" s="30" t="n">
        <x:f>AVERAGE(B60:B71)</x:f>
        <x:v>2024.5</x:v>
      </x:c>
      <x:c r="G71" s="32" t="n">
        <x:v>0.6784084612533018</x:v>
      </x:c>
      <x:c r="H71" s="32" t="n">
        <x:f>B71/MAX($B$5:B71)-1</x:f>
        <x:v>-0.6477219351808361</x:v>
      </x:c>
      <x:c r="I71" s="34" t="str">
        <x:f>IF(B71&lt;1000,"Low",IF(B71&lt;1800,"Normal",IF(B71&lt;3000,"Elevated",IF(B71&lt;4500,"High","Extreme"))))</x:f>
        <x:v>Elevated</x:v>
      </x:c>
      <x:c r="J71" s="35" t="str"/>
      <x:c r="K71" s="35" t="str">
        <x:v>Trend reconstruction</x:v>
      </x:c>
      <x:c r="L71" s="35" t="str">
        <x:v>Public chart / published-anchor interpolation</x:v>
      </x:c>
      <x:c r="M71" s="35" t="str">
        <x:v>https://en.sse.net.cn/indices/scfinew.jsp</x:v>
      </x:c>
      <x:c r="N71" s="34" t="n">
        <x:v>2025</x:v>
      </x:c>
    </x:row>
    <x:row r="72">
      <x:c r="A72" s="28" t="n">
        <x:v>45870</x:v>
      </x:c>
      <x:c r="B72" s="30" t="n">
        <x:v>1500</x:v>
      </x:c>
      <x:c r="C72" s="32" t="n">
        <x:f>B72/B71-1</x:f>
        <x:v>-0.16666666666666663</x:v>
      </x:c>
      <x:c r="D72" s="32" t="n">
        <x:f>B72/B60-1</x:f>
        <x:v>-0.5428223102712588</x:v>
      </x:c>
      <x:c r="E72" s="30" t="n">
        <x:f>AVERAGE(B70:B72)</x:f>
        <x:v>1800</x:v>
      </x:c>
      <x:c r="F72" s="30" t="n">
        <x:f>AVERAGE(B61:B72)</x:f>
        <x:v>1876.0833333333333</x:v>
      </x:c>
      <x:c r="G72" s="32" t="n">
        <x:v>0.687323923208254</x:v>
      </x:c>
      <x:c r="H72" s="32" t="n">
        <x:f>B72/MAX($B$5:B72)-1</x:f>
        <x:v>-0.70643494598403</x:v>
      </x:c>
      <x:c r="I72" s="34" t="str">
        <x:f>IF(B72&lt;1000,"Low",IF(B72&lt;1800,"Normal",IF(B72&lt;3000,"Elevated",IF(B72&lt;4500,"High","Extreme"))))</x:f>
        <x:v>Normal</x:v>
      </x:c>
      <x:c r="J72" s="35" t="str"/>
      <x:c r="K72" s="35" t="str">
        <x:v>Trend reconstruction</x:v>
      </x:c>
      <x:c r="L72" s="35" t="str">
        <x:v>Public chart / published-anchor interpolation</x:v>
      </x:c>
      <x:c r="M72" s="35" t="str">
        <x:v>https://en.sse.net.cn/indices/scfinew.jsp</x:v>
      </x:c>
      <x:c r="N72" s="34" t="n">
        <x:v>2025</x:v>
      </x:c>
    </x:row>
    <x:row r="73">
      <x:c r="A73" s="28" t="n">
        <x:v>45901</x:v>
      </x:c>
      <x:c r="B73" s="30" t="n">
        <x:v>1320</x:v>
      </x:c>
      <x:c r="C73" s="32" t="n">
        <x:f>B73/B72-1</x:f>
        <x:v>-0.12</x:v>
      </x:c>
      <x:c r="D73" s="32" t="n">
        <x:f>B73/B61-1</x:f>
        <x:v>-0.38173302107728335</x:v>
      </x:c>
      <x:c r="E73" s="30" t="n">
        <x:f>AVERAGE(B71:B73)</x:f>
        <x:v>1540</x:v>
      </x:c>
      <x:c r="F73" s="30" t="n">
        <x:f>AVERAGE(B62:B73)</x:f>
        <x:v>1808.1666666666667</x:v>
      </x:c>
      <x:c r="G73" s="32" t="n">
        <x:v>0.6168174303264489</x:v>
      </x:c>
      <x:c r="H73" s="32" t="n">
        <x:f>B73/MAX($B$5:B73)-1</x:f>
        <x:v>-0.7416627524659465</x:v>
      </x:c>
      <x:c r="I73" s="34" t="str">
        <x:f>IF(B73&lt;1000,"Low",IF(B73&lt;1800,"Normal",IF(B73&lt;3000,"Elevated",IF(B73&lt;4500,"High","Extreme"))))</x:f>
        <x:v>Normal</x:v>
      </x:c>
      <x:c r="J73" s="35" t="str"/>
      <x:c r="K73" s="35" t="str">
        <x:v>Trend reconstruction</x:v>
      </x:c>
      <x:c r="L73" s="35" t="str">
        <x:v>Public chart / published-anchor interpolation</x:v>
      </x:c>
      <x:c r="M73" s="35" t="str">
        <x:v>https://en.sse.net.cn/indices/scfinew.jsp</x:v>
      </x:c>
      <x:c r="N73" s="34" t="n">
        <x:v>2025</x:v>
      </x:c>
    </x:row>
    <x:row r="74">
      <x:c r="A74" s="28" t="n">
        <x:v>45931</x:v>
      </x:c>
      <x:c r="B74" s="30" t="n">
        <x:v>1450</x:v>
      </x:c>
      <x:c r="C74" s="32" t="n">
        <x:f>B74/B73-1</x:f>
        <x:v>0.0984848484848484</x:v>
      </x:c>
      <x:c r="D74" s="32" t="n">
        <x:f>B74/B62-1</x:f>
        <x:v>-0.29679922405431625</x:v>
      </x:c>
      <x:c r="E74" s="30" t="n">
        <x:f>AVERAGE(B72:B74)</x:f>
        <x:v>1423.3333333333333</x:v>
      </x:c>
      <x:c r="F74" s="30" t="n">
        <x:f>AVERAGE(B63:B74)</x:f>
        <x:v>1757.1666666666667</x:v>
      </x:c>
      <x:c r="G74" s="32" t="n">
        <x:v>0.6277317730285081</x:v>
      </x:c>
      <x:c r="H74" s="32" t="n">
        <x:f>B74/MAX($B$5:B74)-1</x:f>
        <x:v>-0.7162204477845624</x:v>
      </x:c>
      <x:c r="I74" s="34" t="str">
        <x:f>IF(B74&lt;1000,"Low",IF(B74&lt;1800,"Normal",IF(B74&lt;3000,"Elevated",IF(B74&lt;4500,"High","Extreme"))))</x:f>
        <x:v>Normal</x:v>
      </x:c>
      <x:c r="J74" s="35" t="str">
        <x:v>US-China port-fee disruption</x:v>
      </x:c>
      <x:c r="K74" s="35" t="str">
        <x:v>Trend reconstruction</x:v>
      </x:c>
      <x:c r="L74" s="35" t="str">
        <x:v>Public chart / published-anchor interpolation</x:v>
      </x:c>
      <x:c r="M74" s="35" t="str">
        <x:v>https://en.sse.net.cn/indices/scfinew.jsp</x:v>
      </x:c>
      <x:c r="N74" s="34" t="n">
        <x:v>2025</x:v>
      </x:c>
    </x:row>
    <x:row r="75">
      <x:c r="A75" s="28" t="n">
        <x:v>45962</x:v>
      </x:c>
      <x:c r="B75" s="30" t="n">
        <x:v>1580</x:v>
      </x:c>
      <x:c r="C75" s="32" t="n">
        <x:f>B75/B74-1</x:f>
        <x:v>0.08965517241379306</x:v>
      </x:c>
      <x:c r="D75" s="32" t="n">
        <x:f>B75/B63-1</x:f>
        <x:v>-0.29964539007092195</x:v>
      </x:c>
      <x:c r="E75" s="30" t="n">
        <x:f>AVERAGE(B73:B75)</x:f>
        <x:v>1450</x:v>
      </x:c>
      <x:c r="F75" s="30" t="n">
        <x:f>AVERAGE(B64:B75)</x:f>
        <x:v>1700.8333333333333</x:v>
      </x:c>
      <x:c r="G75" s="32" t="n">
        <x:v>0.6269866089581865</x:v>
      </x:c>
      <x:c r="H75" s="32" t="n">
        <x:f>B75/MAX($B$5:B75)-1</x:f>
        <x:v>-0.6907781431031783</x:v>
      </x:c>
      <x:c r="I75" s="34" t="str">
        <x:f>IF(B75&lt;1000,"Low",IF(B75&lt;1800,"Normal",IF(B75&lt;3000,"Elevated",IF(B75&lt;4500,"High","Extreme"))))</x:f>
        <x:v>Normal</x:v>
      </x:c>
      <x:c r="J75" s="35" t="str"/>
      <x:c r="K75" s="35" t="str">
        <x:v>Trend reconstruction</x:v>
      </x:c>
      <x:c r="L75" s="35" t="str">
        <x:v>Public chart / published-anchor interpolation</x:v>
      </x:c>
      <x:c r="M75" s="35" t="str">
        <x:v>https://en.sse.net.cn/indices/scfinew.jsp</x:v>
      </x:c>
      <x:c r="N75" s="34" t="n">
        <x:v>2025</x:v>
      </x:c>
    </x:row>
    <x:row r="76">
      <x:c r="A76" s="28" t="n">
        <x:v>45992</x:v>
      </x:c>
      <x:c r="B76" s="30" t="n">
        <x:v>1700</x:v>
      </x:c>
      <x:c r="C76" s="32" t="n">
        <x:f>B76/B75-1</x:f>
        <x:v>0.07594936708860756</x:v>
      </x:c>
      <x:c r="D76" s="32" t="n">
        <x:f>B76/B64-1</x:f>
        <x:v>-0.3089430894308943</x:v>
      </x:c>
      <x:c r="E76" s="30" t="n">
        <x:f>AVERAGE(B74:B76)</x:f>
        <x:v>1576.6666666666667</x:v>
      </x:c>
      <x:c r="F76" s="30" t="n">
        <x:f>AVERAGE(B65:B76)</x:f>
        <x:v>1637.5</x:v>
      </x:c>
      <x:c r="G76" s="32" t="n">
        <x:v>0.6247273729748278</x:v>
      </x:c>
      <x:c r="H76" s="32" t="n">
        <x:f>B76/MAX($B$5:B76)-1</x:f>
        <x:v>-0.6672929387819008</x:v>
      </x:c>
      <x:c r="I76" s="34" t="str">
        <x:f>IF(B76&lt;1000,"Low",IF(B76&lt;1800,"Normal",IF(B76&lt;3000,"Elevated",IF(B76&lt;4500,"High","Extreme"))))</x:f>
        <x:v>Normal</x:v>
      </x:c>
      <x:c r="J76" s="35" t="str"/>
      <x:c r="K76" s="35" t="str">
        <x:v>Trend reconstruction</x:v>
      </x:c>
      <x:c r="L76" s="35" t="str">
        <x:v>Public chart / published-anchor interpolation</x:v>
      </x:c>
      <x:c r="M76" s="35" t="str">
        <x:v>https://en.sse.net.cn/indices/scfinew.jsp</x:v>
      </x:c>
      <x:c r="N76" s="34" t="n">
        <x:v>2025</x:v>
      </x:c>
    </x:row>
    <x:row r="77">
      <x:c r="A77" s="28" t="n">
        <x:v>46023</x:v>
      </x:c>
      <x:c r="B77" s="30" t="n">
        <x:v>1499</x:v>
      </x:c>
      <x:c r="C77" s="32" t="n">
        <x:f>B77/B76-1</x:f>
        <x:v>-0.1182352941176471</x:v>
      </x:c>
      <x:c r="D77" s="32" t="n">
        <x:f>B77/B65-1</x:f>
        <x:v>-0.2861904761904762</x:v>
      </x:c>
      <x:c r="E77" s="30" t="n">
        <x:f>AVERAGE(B75:B77)</x:f>
        <x:v>1593</x:v>
      </x:c>
      <x:c r="F77" s="30" t="n">
        <x:f>AVERAGE(B66:B77)</x:f>
        <x:v>1587.4166666666667</x:v>
      </x:c>
      <x:c r="G77" s="32" t="n">
        <x:v>0.6193791275090442</x:v>
      </x:c>
      <x:c r="H77" s="32" t="n">
        <x:f>B77/MAX($B$5:B77)-1</x:f>
        <x:v>-0.7066306560200407</x:v>
      </x:c>
      <x:c r="I77" s="34" t="str">
        <x:f>IF(B77&lt;1000,"Low",IF(B77&lt;1800,"Normal",IF(B77&lt;3000,"Elevated",IF(B77&lt;4500,"High","Extreme"))))</x:f>
        <x:v>Normal</x:v>
      </x:c>
      <x:c r="J77" s="35" t="str"/>
      <x:c r="K77" s="35" t="str">
        <x:v>Trend reconstruction</x:v>
      </x:c>
      <x:c r="L77" s="35" t="str">
        <x:v>Public chart / published-anchor interpolation</x:v>
      </x:c>
      <x:c r="M77" s="35" t="str">
        <x:v>https://en.sse.net.cn/indices/scfinew.jsp</x:v>
      </x:c>
      <x:c r="N77" s="34" t="n">
        <x:v>2026</x:v>
      </x:c>
    </x:row>
    <x:row r="78">
      <x:c r="A78" s="28" t="n">
        <x:v>46054</x:v>
      </x:c>
      <x:c r="B78" s="30" t="n">
        <x:v>1284</x:v>
      </x:c>
      <x:c r="C78" s="32" t="n">
        <x:f>B78/B77-1</x:f>
        <x:v>-0.14342895263509003</x:v>
      </x:c>
      <x:c r="D78" s="32" t="n">
        <x:f>B78/B66-1</x:f>
        <x:v>-0.26628571428571424</x:v>
      </x:c>
      <x:c r="E78" s="30" t="n">
        <x:f>AVERAGE(B76:B78)</x:f>
        <x:v>1494.3333333333333</x:v>
      </x:c>
      <x:c r="F78" s="30" t="n">
        <x:f>AVERAGE(B67:B78)</x:f>
        <x:v>1548.5833333333333</x:v>
      </x:c>
      <x:c r="G78" s="32" t="n">
        <x:v>0.6139805229319398</x:v>
      </x:c>
      <x:c r="H78" s="32" t="n">
        <x:f>B78/MAX($B$5:B78)-1</x:f>
        <x:v>-0.7487083137623298</x:v>
      </x:c>
      <x:c r="I78" s="34" t="str">
        <x:f>IF(B78&lt;1000,"Low",IF(B78&lt;1800,"Normal",IF(B78&lt;3000,"Elevated",IF(B78&lt;4500,"High","Extreme"))))</x:f>
        <x:v>Normal</x:v>
      </x:c>
      <x:c r="J78" s="35" t="str"/>
      <x:c r="K78" s="35" t="str">
        <x:v>Trend reconstruction</x:v>
      </x:c>
      <x:c r="L78" s="35" t="str">
        <x:v>Public chart / published-anchor interpolation</x:v>
      </x:c>
      <x:c r="M78" s="35" t="str">
        <x:v>https://en.sse.net.cn/indices/scfinew.jsp</x:v>
      </x:c>
      <x:c r="N78" s="34" t="n">
        <x:v>2026</x:v>
      </x:c>
    </x:row>
    <x:row r="79">
      <x:c r="A79" s="28" t="n">
        <x:v>46082</x:v>
      </x:c>
      <x:c r="B79" s="30" t="n">
        <x:v>1500</x:v>
      </x:c>
      <x:c r="C79" s="32" t="n">
        <x:f>B79/B78-1</x:f>
        <x:v>0.16822429906542058</x:v>
      </x:c>
      <x:c r="D79" s="32" t="n">
        <x:f>B79/B67-1</x:f>
        <x:v>0.11111111111111116</x:v>
      </x:c>
      <x:c r="E79" s="30" t="n">
        <x:f>AVERAGE(B77:B79)</x:f>
        <x:v>1427.6666666666667</x:v>
      </x:c>
      <x:c r="F79" s="30" t="n">
        <x:f>AVERAGE(B68:B79)</x:f>
        <x:v>1561.0833333333333</x:v>
      </x:c>
      <x:c r="G79" s="32" t="n">
        <x:v>0.5903273250546635</x:v>
      </x:c>
      <x:c r="H79" s="32" t="n">
        <x:f>B79/MAX($B$5:B79)-1</x:f>
        <x:v>-0.70643494598403</x:v>
      </x:c>
      <x:c r="I79" s="34" t="str">
        <x:f>IF(B79&lt;1000,"Low",IF(B79&lt;1800,"Normal",IF(B79&lt;3000,"Elevated",IF(B79&lt;4500,"High","Extreme"))))</x:f>
        <x:v>Normal</x:v>
      </x:c>
      <x:c r="J79" s="35" t="str">
        <x:v>US-Iran conflict / fuel shock</x:v>
      </x:c>
      <x:c r="K79" s="35" t="str">
        <x:v>Trend reconstruction</x:v>
      </x:c>
      <x:c r="L79" s="35" t="str">
        <x:v>Public chart / published-anchor interpolation</x:v>
      </x:c>
      <x:c r="M79" s="35" t="str">
        <x:v>https://en.sse.net.cn/indices/scfinew.jsp</x:v>
      </x:c>
      <x:c r="N79" s="34" t="n">
        <x:v>2026</x:v>
      </x:c>
    </x:row>
    <x:row r="80">
      <x:c r="A80" s="28" t="n">
        <x:v>46113</x:v>
      </x:c>
      <x:c r="B80" s="30" t="n">
        <x:v>1900</x:v>
      </x:c>
      <x:c r="C80" s="32" t="n">
        <x:f>B80/B79-1</x:f>
        <x:v>0.2666666666666666</x:v>
      </x:c>
      <x:c r="D80" s="32" t="n">
        <x:f>B80/B68-1</x:f>
        <x:v>0.52</x:v>
      </x:c>
      <x:c r="E80" s="30" t="n">
        <x:f>AVERAGE(B78:B80)</x:f>
        <x:v>1561.3333333333333</x:v>
      </x:c>
      <x:c r="F80" s="30" t="n">
        <x:f>AVERAGE(B69:B80)</x:f>
        <x:v>1615.25</x:v>
      </x:c>
      <x:c r="G80" s="32" t="n">
        <x:v>0.6239144557759695</x:v>
      </x:c>
      <x:c r="H80" s="32" t="n">
        <x:f>B80/MAX($B$5:B80)-1</x:f>
        <x:v>-0.6281509315797714</x:v>
      </x:c>
      <x:c r="I80" s="34" t="str">
        <x:f>IF(B80&lt;1000,"Low",IF(B80&lt;1800,"Normal",IF(B80&lt;3000,"Elevated",IF(B80&lt;4500,"High","Extreme"))))</x:f>
        <x:v>Elevated</x:v>
      </x:c>
      <x:c r="J80" s="35" t="str"/>
      <x:c r="K80" s="35" t="str">
        <x:v>Trend reconstruction</x:v>
      </x:c>
      <x:c r="L80" s="35" t="str">
        <x:v>Public chart / published-anchor interpolation</x:v>
      </x:c>
      <x:c r="M80" s="35" t="str">
        <x:v>https://en.sse.net.cn/indices/scfinew.jsp</x:v>
      </x:c>
      <x:c r="N80" s="34" t="n">
        <x:v>2026</x:v>
      </x:c>
    </x:row>
    <x:row r="81">
      <x:c r="A81" s="28" t="n">
        <x:v>46143</x:v>
      </x:c>
      <x:c r="B81" s="30" t="n">
        <x:v>2572</x:v>
      </x:c>
      <x:c r="C81" s="32" t="n">
        <x:f>B81/B80-1</x:f>
        <x:v>0.3536842105263158</x:v>
      </x:c>
      <x:c r="D81" s="32" t="n">
        <x:f>B81/B69-1</x:f>
        <x:v>0.46971428571428575</x:v>
      </x:c>
      <x:c r="E81" s="30" t="n">
        <x:f>AVERAGE(B79:B81)</x:f>
        <x:v>1990.6666666666667</x:v>
      </x:c>
      <x:c r="F81" s="30" t="n">
        <x:f>AVERAGE(B70:B81)</x:f>
        <x:v>1683.75</x:v>
      </x:c>
      <x:c r="G81" s="32" t="n">
        <x:v>0.5990615462713169</x:v>
      </x:c>
      <x:c r="H81" s="32" t="n">
        <x:f>B81/MAX($B$5:B81)-1</x:f>
        <x:v>-0.4966337873806169</x:v>
      </x:c>
      <x:c r="I81" s="34" t="str">
        <x:f>IF(B81&lt;1000,"Low",IF(B81&lt;1800,"Normal",IF(B81&lt;3000,"Elevated",IF(B81&lt;4500,"High","Extreme"))))</x:f>
        <x:v>Elevated</x:v>
      </x:c>
      <x:c r="J81" s="35" t="str"/>
      <x:c r="K81" s="35" t="str">
        <x:v>Trend reconstruction</x:v>
      </x:c>
      <x:c r="L81" s="35" t="str">
        <x:v>Public chart / published-anchor interpolation</x:v>
      </x:c>
      <x:c r="M81" s="35" t="str">
        <x:v>https://en.sse.net.cn/indices/scfinew.jsp</x:v>
      </x:c>
      <x:c r="N81" s="34" t="n">
        <x:v>2026</x:v>
      </x:c>
    </x:row>
    <x:row r="82">
      <x:c r="A82" s="28" t="n">
        <x:v>46174</x:v>
      </x:c>
      <x:c r="B82" s="30" t="n">
        <x:v>3018.26</x:v>
      </x:c>
      <x:c r="C82" s="32" t="n">
        <x:f>B82/B81-1</x:f>
        <x:v>0.17350699844479012</x:v>
      </x:c>
      <x:c r="D82" s="32" t="n">
        <x:f>B82/B70-1</x:f>
        <x:v>0.4372666666666667</x:v>
      </x:c>
      <x:c r="E82" s="30" t="n">
        <x:f>AVERAGE(B80:B82)</x:f>
        <x:v>2496.7533333333336</x:v>
      </x:c>
      <x:c r="F82" s="30" t="n">
        <x:f>AVERAGE(B71:B82)</x:f>
        <x:v>1760.2716666666668</x:v>
      </x:c>
      <x:c r="G82" s="32" t="n">
        <x:v>0.592790118397024</x:v>
      </x:c>
      <x:c r="H82" s="32" t="n">
        <x:f>B82/MAX($B$5:B82)-1</x:f>
        <x:v>-0.4092962267105057</x:v>
      </x:c>
      <x:c r="I82" s="34" t="str">
        <x:f>IF(B82&lt;1000,"Low",IF(B82&lt;1800,"Normal",IF(B82&lt;3000,"Elevated",IF(B82&lt;4500,"High","Extreme"))))</x:f>
        <x:v>High</x:v>
      </x:c>
      <x:c r="J82" s="35" t="str"/>
      <x:c r="K82" s="35" t="str">
        <x:v>Published monthly reference</x:v>
      </x:c>
      <x:c r="L82" s="35" t="str">
        <x:v>Cbonds</x:v>
      </x:c>
      <x:c r="M82" s="35" t="str">
        <x:v>https://cbonds.com/indexes/84037/</x:v>
      </x:c>
      <x:c r="N82" s="34" t="n">
        <x:v>2026</x:v>
      </x:c>
    </x:row>
    <x:row r="83">
      <x:c r="A83" s="28" t="n">
        <x:v>46204</x:v>
      </x:c>
      <x:c r="B83" s="30" t="n">
        <x:v>3184.83</x:v>
      </x:c>
      <x:c r="C83" s="32" t="n">
        <x:f>B83/B82-1</x:f>
        <x:v>0.055187425867883944</x:v>
      </x:c>
      <x:c r="D83" s="32" t="n">
        <x:f>B83/B71-1</x:f>
        <x:v>0.76935</x:v>
      </x:c>
      <x:c r="E83" s="30" t="n">
        <x:f>AVERAGE(B81:B83)</x:f>
        <x:v>2925.03</x:v>
      </x:c>
      <x:c r="F83" s="30" t="n">
        <x:f>AVERAGE(B72:B83)</x:f>
        <x:v>1875.674166666667</x:v>
      </x:c>
      <x:c r="G83" s="32" t="n">
        <x:v>0.5595629657246158</x:v>
      </x:c>
      <x:c r="H83" s="32" t="n">
        <x:f>B83/MAX($B$5:B83)-1</x:f>
        <x:v>-0.37669680601221234</x:v>
      </x:c>
      <x:c r="I83" s="34" t="str">
        <x:f>IF(B83&lt;1000,"Low",IF(B83&lt;1800,"Normal",IF(B83&lt;3000,"Elevated",IF(B83&lt;4500,"High","Extreme"))))</x:f>
        <x:v>High</x:v>
      </x:c>
      <x:c r="J83" s="35" t="str">
        <x:v>High-cost plateau</x:v>
      </x:c>
      <x:c r="K83" s="35" t="str">
        <x:v>Public current reading (2026-07-17)</x:v>
      </x:c>
      <x:c r="L83" s="35" t="str">
        <x:v>Trading Economics</x:v>
      </x:c>
      <x:c r="M83" s="35" t="str">
        <x:v>https://tradingeconomics.com/commodity/containerized-freight-index</x:v>
      </x:c>
      <x:c r="N83" s="34" t="n">
        <x:v>2026</x:v>
      </x:c>
    </x:row>
  </x:sheetData>
  <x:mergeCells>
    <x:mergeCell ref="A1:N1"/>
    <x:mergeCell ref="A2:N2"/>
  </x:mergeCells>
  <x:conditionalFormatting sqref="C5:D83">
    <x:cfRule type="colorScale" priority="1">
      <x:colorScale>
        <x:cfvo type="min"/>
        <x:cfvo type="percentile" val="50"/>
        <x:cfvo type="max"/>
        <x:color rgb="FFFECACA"/>
        <x:color rgb="FFFEF3C7"/>
        <x:color rgb="FFDCFCE7"/>
      </x:colorScale>
    </x:cfRule>
  </x:conditionalFormatting>
  <x:conditionalFormatting sqref="H5:H83">
    <x:cfRule type="dataBar" priority="2">
      <x:dataBar>
        <x:cfvo type="min"/>
        <x:cfvo type="max"/>
        <x:color rgb="FF64748B"/>
      </x:dataBar>
      <x:extLst>
        <x:ext xmlns:x14="http://schemas.microsoft.com/office/spreadsheetml/2009/9/main" uri="{B025F937-C7B1-47D3-B67F-A62EFF666E3E}">
          <x14:id>{922DCE6A-2A04-3C64-8D3D-06740C5A65A3}</x14:id>
        </x:ext>
      </x:extLst>
    </x:cfRule>
  </x:conditionalFormatting>
  <x:conditionalFormatting sqref="I5:I83">
    <x:cfRule type="expression" dxfId="0" priority="3">
      <x:formula>$I5="Extreme"</x:formula>
    </x:cfRule>
    <x:cfRule type="expression" dxfId="1" priority="4">
      <x:formula>$I5="High"</x:formula>
    </x:cfRule>
    <x:cfRule type="expression" dxfId="2" priority="5">
      <x:formula>$I5="Low"</x:formula>
    </x:cfRule>
  </x:conditionalFormatting>
  <x:pageMargins left="0.7" right="0.7" top="0.75" bottom="0.75" header="0.3" footer="0.3"/>
  <x:tableParts count="1">
    <x:tablePart xmlns:r="http://schemas.openxmlformats.org/officeDocument/2006/relationships" r:id="R325b018d17e74e6f"/>
  </x:tableParts>
  <x:extLst>
    <x:ext xmlns:x14="http://schemas.microsoft.com/office/spreadsheetml/2009/9/main" xmlns:xm="http://schemas.microsoft.com/office/excel/2006/main" uri="{78C0D931-6437-407d-A8EE-F0AAD7539E65}">
      <x14:conditionalFormattings>
        <x14:conditionalFormatting>
          <x14:cfRule type="dataBar" priority="2" id="{922DCE6A-2A04-3C64-8D3D-06740C5A65A3}">
            <x14:dataBar gradient="1">
              <x14:cfvo type="min"/>
              <x14:cfvo type="max"/>
              <x14:fillColor rgb="FF64748B"/>
            </x14:dataBar>
          </x14:cfRule>
          <xm:sqref>H5:H83</xm:sqref>
        </x14:conditionalFormatting>
      </x14:conditionalFormattings>
    </x:ext>
  </x:extLst>
</x:worksheet>
</file>

<file path=xl/worksheets/sheet2.xml><?xml version="1.0" encoding="utf-8"?>
<x:worksheet xmlns:x="http://schemas.openxmlformats.org/spreadsheetml/2006/main">
  <x:sheetFormatPr defaultRowHeight="15"/>
  <x:cols>
    <x:col min="1" max="1" width="9" hidden="0" customWidth="1"/>
    <x:col min="2" max="2" width="15" hidden="0" customWidth="1"/>
    <x:col min="3" max="3" width="12" hidden="0" customWidth="1"/>
    <x:col min="4" max="4" width="12" hidden="0" customWidth="1"/>
    <x:col min="5" max="5" width="15" hidden="0" customWidth="1"/>
    <x:col min="6" max="6" width="18" hidden="0" customWidth="1"/>
    <x:col min="7" max="7" width="15" hidden="0" customWidth="1"/>
    <x:col min="8" max="8" width="20" hidden="0" customWidth="1"/>
    <x:col min="9" max="9" width="54" hidden="0" customWidth="1"/>
  </x:cols>
  <x:sheetData>
    <x:row r="1" ht="32" customHeight="1">
      <x:c r="A1" s="4" t="str">
        <x:v>Annual Market Cycle Summary | 年度周期概览</x:v>
      </x:c>
      <x:c r="B1" s="4"/>
      <x:c r="C1" s="4"/>
      <x:c r="D1" s="4"/>
      <x:c r="E1" s="4"/>
      <x:c r="F1" s="4"/>
      <x:c r="G1" s="4"/>
      <x:c r="H1" s="4"/>
      <x:c r="I1" s="4"/>
    </x:row>
    <x:row r="3" ht="28" customHeight="1">
      <x:c r="A3" s="40" t="str">
        <x:v>Year</x:v>
      </x:c>
      <x:c r="B3" s="40" t="str">
        <x:v>Average SCFI</x:v>
      </x:c>
      <x:c r="C3" s="40" t="str">
        <x:v>Min</x:v>
      </x:c>
      <x:c r="D3" s="40" t="str">
        <x:v>Max</x:v>
      </x:c>
      <x:c r="E3" s="40" t="str">
        <x:v>Annual Avg YoY</x:v>
      </x:c>
      <x:c r="F3" s="40" t="str">
        <x:v>Monthly Volatility</x:v>
      </x:c>
      <x:c r="G3" s="40" t="str">
        <x:v>Peak-to-Trough</x:v>
      </x:c>
      <x:c r="H3" s="40" t="str">
        <x:v>Market Regime</x:v>
      </x:c>
      <x:c r="I3" s="40" t="str">
        <x:v>Primary Driver</x:v>
      </x:c>
    </x:row>
    <x:row r="4">
      <x:c r="A4" s="34" t="n">
        <x:v>2020</x:v>
      </x:c>
      <x:c r="B4" s="30" t="n">
        <x:v>1287.9766666666667</x:v>
      </x:c>
      <x:c r="C4" s="30" t="n">
        <x:v>818</x:v>
      </x:c>
      <x:c r="D4" s="30" t="n">
        <x:v>2783</x:v>
      </x:c>
      <x:c r="E4" s="32"/>
      <x:c r="F4" s="32" t="n">
        <x:v>0.15875311019540225</x:v>
      </x:c>
      <x:c r="G4" s="32" t="n">
        <x:v>-0.7060725835429393</x:v>
      </x:c>
      <x:c r="H4" s="35" t="str">
        <x:v>Recovery</x:v>
      </x:c>
      <x:c r="I4" s="35" t="str">
        <x:v>Pandemic disruption -&gt; goods-demand rebound and equipment shortage</x:v>
      </x:c>
    </x:row>
    <x:row r="5">
      <x:c r="A5" s="34" t="n">
        <x:v>2021</x:v>
      </x:c>
      <x:c r="B5" s="30" t="n">
        <x:v>3791.9166666666665</x:v>
      </x:c>
      <x:c r="C5" s="30" t="n">
        <x:v>2583</x:v>
      </x:c>
      <x:c r="D5" s="30" t="n">
        <x:v>5046</x:v>
      </x:c>
      <x:c r="E5" s="32" t="n">
        <x:v>1.9440880140168169</x:v>
      </x:c>
      <x:c r="F5" s="32" t="n">
        <x:v>0.0831452503131896</x:v>
      </x:c>
      <x:c r="G5" s="32" t="n">
        <x:v>-0.48810939357907257</x:v>
      </x:c>
      <x:c r="H5" s="35" t="str">
        <x:v>Boom</x:v>
      </x:c>
      <x:c r="I5" s="35" t="str">
        <x:v>Consumer-goods boom, congestion and severe effective-capacity shortage</x:v>
      </x:c>
    </x:row>
    <x:row r="6">
      <x:c r="A6" s="34" t="n">
        <x:v>2022</x:v>
      </x:c>
      <x:c r="B6" s="30" t="n">
        <x:v>3361.2625</x:v>
      </x:c>
      <x:c r="C6" s="30" t="n">
        <x:v>1107.55</x:v>
      </x:c>
      <x:c r="D6" s="30" t="n">
        <x:v>5109.6</x:v>
      </x:c>
      <x:c r="E6" s="32" t="n">
        <x:v>-0.11357163263960623</x:v>
      </x:c>
      <x:c r="F6" s="32" t="n">
        <x:v>0.12075844589858487</x:v>
      </x:c>
      <x:c r="G6" s="32" t="n">
        <x:v>-0.7832413496164083</x:v>
      </x:c>
      <x:c r="H6" s="35" t="str">
        <x:v>Peak / Crash</x:v>
      </x:c>
      <x:c r="I6" s="35" t="str">
        <x:v>Record peak followed by demand normalization and congestion release</x:v>
      </x:c>
    </x:row>
    <x:row r="7">
      <x:c r="A7" s="34" t="n">
        <x:v>2023</x:v>
      </x:c>
      <x:c r="B7" s="30" t="n">
        <x:v>1002.035</x:v>
      </x:c>
      <x:c r="C7" s="30" t="n">
        <x:v>886.85</x:v>
      </x:c>
      <x:c r="D7" s="30" t="n">
        <x:v>1230.22</x:v>
      </x:c>
      <x:c r="E7" s="32" t="n">
        <x:v>-0.7018873116872009</x:v>
      </x:c>
      <x:c r="F7" s="32" t="n">
        <x:v>0.10087820870967998</x:v>
      </x:c>
      <x:c r="G7" s="32" t="n">
        <x:v>-0.2791126790330185</x:v>
      </x:c>
      <x:c r="H7" s="35" t="str">
        <x:v>Bottom</x:v>
      </x:c>
      <x:c r="I7" s="35" t="str">
        <x:v>Weak cargo demand plus rapid fleet growth / excess capacity</x:v>
      </x:c>
    </x:row>
    <x:row r="8">
      <x:c r="A8" s="34" t="n">
        <x:v>2024</x:v>
      </x:c>
      <x:c r="B8" s="30" t="n">
        <x:v>2514.9983333333334</x:v>
      </x:c>
      <x:c r="C8" s="30" t="n">
        <x:v>1730</x:v>
      </x:c>
      <x:c r="D8" s="30" t="n">
        <x:v>3650.37</x:v>
      </x:c>
      <x:c r="E8" s="32" t="n">
        <x:v>1.509890705747138</x:v>
      </x:c>
      <x:c r="F8" s="32" t="n">
        <x:v>0.30959653924244535</x:v>
      </x:c>
      <x:c r="G8" s="32" t="n">
        <x:v>-0.5260754389281086</x:v>
      </x:c>
      <x:c r="H8" s="35" t="str">
        <x:v>Disruption Rally</x:v>
      </x:c>
      <x:c r="I8" s="35" t="str">
        <x:v>Red Sea Cape rerouting, front-loading and port congestion</x:v>
      </x:c>
    </x:row>
    <x:row r="9">
      <x:c r="A9" s="34" t="n">
        <x:v>2025</x:v>
      </x:c>
      <x:c r="B9" s="30" t="n">
        <x:v>1637.5</x:v>
      </x:c>
      <x:c r="C9" s="30" t="n">
        <x:v>1250</x:v>
      </x:c>
      <x:c r="D9" s="30" t="n">
        <x:v>2100</x:v>
      </x:c>
      <x:c r="E9" s="32" t="n">
        <x:v>-0.3489061291624448</x:v>
      </x:c>
      <x:c r="F9" s="32" t="n">
        <x:v>0.1803432584785723</x:v>
      </x:c>
      <x:c r="G9" s="32" t="n">
        <x:v>-0.40476190476190477</x:v>
      </x:c>
      <x:c r="H9" s="35" t="str">
        <x:v>Policy Volatility</x:v>
      </x:c>
      <x:c r="I9" s="35" t="str">
        <x:v>Tariff-driven shipment timing, rate spikes, then normalization</x:v>
      </x:c>
    </x:row>
    <x:row r="10">
      <x:c r="A10" s="34" t="n">
        <x:v>2026</x:v>
      </x:c>
      <x:c r="B10" s="30" t="n">
        <x:v>2136.87</x:v>
      </x:c>
      <x:c r="C10" s="30" t="n">
        <x:v>1284</x:v>
      </x:c>
      <x:c r="D10" s="30" t="n">
        <x:v>3184.83</x:v>
      </x:c>
      <x:c r="E10" s="32" t="n">
        <x:v>0.3049587786259542</x:v>
      </x:c>
      <x:c r="F10" s="32" t="n">
        <x:v>0.17346965470363204</x:v>
      </x:c>
      <x:c r="G10" s="32" t="n">
        <x:v>-0.596838763764471</x:v>
      </x:c>
      <x:c r="H10" s="35" t="str">
        <x:v>Geopolitical Rally</x:v>
      </x:c>
      <x:c r="I10" s="35" t="str">
        <x:v>US-Iran conflict, bunker-cost shock, surcharges and capacity anxiety</x:v>
      </x:c>
    </x:row>
  </x:sheetData>
  <x:mergeCells>
    <x:mergeCell ref="A1:I1"/>
  </x:mergeCells>
  <x:conditionalFormatting sqref="E4:G10">
    <x:cfRule type="colorScale" priority="1">
      <x:colorScale>
        <x:cfvo type="min"/>
        <x:cfvo type="percentile" val="50"/>
        <x:cfvo type="max"/>
        <x:color rgb="FFFECACA"/>
        <x:color rgb="FFFEF3C7"/>
        <x:color rgb="FFDCFCE7"/>
      </x:colorScale>
    </x:cfRule>
  </x:conditionalFormatting>
  <x:pageMargins left="0.7" right="0.7" top="0.75" bottom="0.75" header="0.3" footer="0.3"/>
  <x:tableParts count="1">
    <x:tablePart xmlns:r="http://schemas.openxmlformats.org/officeDocument/2006/relationships" r:id="Rf36ab20dc3754505"/>
  </x:tableParts>
</x:worksheet>
</file>

<file path=xl/worksheets/sheet3.xml><?xml version="1.0" encoding="utf-8"?>
<x:worksheet xmlns:x="http://schemas.openxmlformats.org/spreadsheetml/2006/main">
  <x:sheetFormatPr defaultRowHeight="15"/>
  <x:cols>
    <x:col min="1" max="1" width="12" hidden="0" customWidth="1"/>
    <x:col min="2" max="2" width="26" hidden="0" customWidth="1"/>
    <x:col min="3" max="3" width="11" hidden="0" customWidth="1"/>
    <x:col min="4" max="4" width="12" hidden="0" customWidth="1"/>
    <x:col min="5" max="5" width="12" hidden="0" customWidth="1"/>
    <x:col min="6" max="6" width="12" hidden="0" customWidth="1"/>
    <x:col min="7" max="7" width="27" hidden="0" customWidth="1"/>
    <x:col min="8" max="8" width="28" hidden="0" customWidth="1"/>
    <x:col min="9" max="9" width="52" hidden="0" customWidth="1"/>
    <x:col min="10" max="10" width="48" hidden="0" customWidth="1"/>
  </x:cols>
  <x:sheetData>
    <x:row r="1" ht="32" customHeight="1">
      <x:c r="A1" s="46" t="str">
        <x:v>SCFI Event Study | 指数变化 -&gt; 直接变量 -&gt; 外部驱动 -&gt; 净影响</x:v>
      </x:c>
      <x:c r="B1" s="46"/>
      <x:c r="C1" s="46"/>
      <x:c r="D1" s="46"/>
      <x:c r="E1" s="46"/>
      <x:c r="F1" s="46"/>
      <x:c r="G1" s="46"/>
      <x:c r="H1" s="46"/>
      <x:c r="I1" s="46"/>
      <x:c r="J1" s="46"/>
    </x:row>
    <x:row r="3" ht="34" customHeight="1">
      <x:c r="A3" s="52" t="str">
        <x:v>Event Date</x:v>
      </x:c>
      <x:c r="B3" s="52" t="str">
        <x:v>Event</x:v>
      </x:c>
      <x:c r="C3" s="52" t="str">
        <x:v>SCFI</x:v>
      </x:c>
      <x:c r="D3" s="52" t="str">
        <x:v>3M Before</x:v>
      </x:c>
      <x:c r="E3" s="52" t="str">
        <x:v>3M After</x:v>
      </x:c>
      <x:c r="F3" s="52" t="str">
        <x:v>6M Impact</x:v>
      </x:c>
      <x:c r="G3" s="52" t="str">
        <x:v>Demand Effect</x:v>
      </x:c>
      <x:c r="H3" s="52" t="str">
        <x:v>Effective Supply Effect</x:v>
      </x:c>
      <x:c r="I3" s="52" t="str">
        <x:v>Mechanism</x:v>
      </x:c>
      <x:c r="J3" s="52" t="str">
        <x:v>Evidence / Source</x:v>
      </x:c>
    </x:row>
    <x:row r="4">
      <x:c r="A4" s="28" t="n">
        <x:v>43862</x:v>
      </x:c>
      <x:c r="B4" t="str">
        <x:v>COVID-19 production shock</x:v>
      </x:c>
      <x:c r="C4" s="30" t="n">
        <x:v>875</x:v>
      </x:c>
      <x:c r="D4" s="30" t="n">
        <x:v>1022.72</x:v>
      </x:c>
      <x:c r="E4" s="30" t="n">
        <x:v>837</x:v>
      </x:c>
      <x:c r="F4" s="32" t="n">
        <x:v>-0.18159418022528162</x:v>
      </x:c>
      <x:c r="G4" s="35" t="str">
        <x:v>Demand initially fell</x:v>
      </x:c>
      <x:c r="H4" s="35" t="str">
        <x:v>Port/box flows disrupted</x:v>
      </x:c>
      <x:c r="I4" s="35" t="str">
        <x:v>Factory shutdowns hit exports; later goods demand and network imbalance reversed the direction.</x:v>
      </x:c>
      <x:c r="J4" s="35" t="str">
        <x:v>https://en.sse.net.cn/indices/scfinew.jsp</x:v>
      </x:c>
    </x:row>
    <x:row r="5">
      <x:c r="A5" s="28" t="n">
        <x:v>44136</x:v>
      </x:c>
      <x:c r="B5" t="str">
        <x:v>Goods-demand and capacity squeeze</x:v>
      </x:c>
      <x:c r="C5" s="30" t="n">
        <x:v>1890</x:v>
      </x:c>
      <x:c r="D5" s="30" t="n">
        <x:v>1264</x:v>
      </x:c>
      <x:c r="E5" s="30" t="n">
        <x:v>2775</x:v>
      </x:c>
      <x:c r="F5" s="32" t="n">
        <x:v>1.1954113924050631</x:v>
      </x:c>
      <x:c r="G5" s="35" t="str">
        <x:v>Goods demand surged</x:v>
      </x:c>
      <x:c r="H5" s="35" t="str">
        <x:v>Congestion and container shortages reduced effective capacity</x:v>
      </x:c>
      <x:c r="I5" s="35" t="str">
        <x:v>Demand rotated from services to goods while schedule reliability and equipment availability deteriorated.</x:v>
      </x:c>
      <x:c r="J5" s="35" t="str">
        <x:v>https://en.sse.net.cn/indices/scfinew.jsp</x:v>
      </x:c>
    </x:row>
    <x:row r="6">
      <x:c r="A6" s="28" t="n">
        <x:v>44256</x:v>
      </x:c>
      <x:c r="B6" t="str">
        <x:v>Suez blockage and global congestion</x:v>
      </x:c>
      <x:c r="C6" s="30" t="n">
        <x:v>2583</x:v>
      </x:c>
      <x:c r="D6" s="30" t="n">
        <x:v>2783</x:v>
      </x:c>
      <x:c r="E6" s="30" t="n">
        <x:v>3785</x:v>
      </x:c>
      <x:c r="F6" s="32" t="n">
        <x:v>0.3600431189363995</x:v>
      </x:c>
      <x:c r="G6" s="35" t="str">
        <x:v>Inventory restocking stayed strong</x:v>
      </x:c>
      <x:c r="H6" s="35" t="str">
        <x:v>Delays lengthened round trips</x:v>
      </x:c>
      <x:c r="I6" s="35" t="str">
        <x:v>A temporary blockage amplified an already congested network and reduced vessel productivity.</x:v>
      </x:c>
      <x:c r="J6" s="35" t="str">
        <x:v>https://en.sse.net.cn/indices/scfinew.jsp</x:v>
      </x:c>
    </x:row>
    <x:row r="7">
      <x:c r="A7" s="28" t="n">
        <x:v>44562</x:v>
      </x:c>
      <x:c r="B7" t="str">
        <x:v>Historical peak</x:v>
      </x:c>
      <x:c r="C7" s="30" t="n">
        <x:v>5109.6</x:v>
      </x:c>
      <x:c r="D7" s="30" t="n">
        <x:v>4605</x:v>
      </x:c>
      <x:c r="E7" s="30" t="n">
        <x:v>4177</x:v>
      </x:c>
      <x:c r="F7" s="32" t="n">
        <x:v>-0.09294245385450595</x:v>
      </x:c>
      <x:c r="G7" s="35" t="str">
        <x:v>Demand still high but slowing</x:v>
      </x:c>
      <x:c r="H7" s="35" t="str">
        <x:v>Congestion at extreme levels</x:v>
      </x:c>
      <x:c r="I7" s="35" t="str">
        <x:v>Pandemic demand, port queues and low schedule reliability pushed spot rates to the record.</x:v>
      </x:c>
      <x:c r="J7" s="35" t="str">
        <x:v>https://tradingeconomics.com/commodity/containerized-freight-index</x:v>
      </x:c>
    </x:row>
    <x:row r="8">
      <x:c r="A8" s="28" t="n">
        <x:v>44805</x:v>
      </x:c>
      <x:c r="B8" t="str">
        <x:v>Rapid correction</x:v>
      </x:c>
      <x:c r="C8" s="30" t="n">
        <x:v>1922</x:v>
      </x:c>
      <x:c r="D8" s="30" t="n">
        <x:v>4216</x:v>
      </x:c>
      <x:c r="E8" s="30" t="n">
        <x:v>1107.55</x:v>
      </x:c>
      <x:c r="F8" s="32" t="n">
        <x:v>-0.7372983870967742</x:v>
      </x:c>
      <x:c r="G8" s="35" t="str">
        <x:v>Demand normalized; inventories rose</x:v>
      </x:c>
      <x:c r="H8" s="35" t="str">
        <x:v>Congestion eased and capacity returned</x:v>
      </x:c>
      <x:c r="I8" s="35" t="str">
        <x:v>The market moved from scarcity to normalization; spot rates fell faster than nominal fleet changed.</x:v>
      </x:c>
      <x:c r="J8" s="35" t="str">
        <x:v>https://en.sse.net.cn/indices/scfinew.jsp</x:v>
      </x:c>
    </x:row>
    <x:row r="9">
      <x:c r="A9" s="28" t="n">
        <x:v>45170</x:v>
      </x:c>
      <x:c r="B9" t="str">
        <x:v>Cycle bottom</x:v>
      </x:c>
      <x:c r="C9" s="30" t="n">
        <x:v>886.85</x:v>
      </x:c>
      <x:c r="D9" s="30" t="n">
        <x:v>953.6</x:v>
      </x:c>
      <x:c r="E9" s="30" t="n">
        <x:v>1230.22</x:v>
      </x:c>
      <x:c r="F9" s="32" t="n">
        <x:v>0.2900796979865772</x:v>
      </x:c>
      <x:c r="G9" s="35" t="str">
        <x:v>Weak cargo demand</x:v>
      </x:c>
      <x:c r="H9" s="35" t="str">
        <x:v>Large newbuilding deliveries expanded supply</x:v>
      </x:c>
      <x:c r="I9" s="35" t="str">
        <x:v>Weak trade demand met structural fleet growth, compressing spot rates.</x:v>
      </x:c>
      <x:c r="J9" s="35" t="str">
        <x:v>https://en.sse.net.cn/indices/scfinew.jsp</x:v>
      </x:c>
    </x:row>
    <x:row r="10">
      <x:c r="A10" s="28" t="n">
        <x:v>45292</x:v>
      </x:c>
      <x:c r="B10" t="str">
        <x:v>Red Sea rerouting</x:v>
      </x:c>
      <x:c r="C10" s="30" t="n">
        <x:v>2130.34</x:v>
      </x:c>
      <x:c r="D10" s="30" t="n">
        <x:v>1012.6</x:v>
      </x:c>
      <x:c r="E10" s="30" t="n">
        <x:v>1776</x:v>
      </x:c>
      <x:c r="F10" s="32" t="n">
        <x:v>0.7539008492988346</x:v>
      </x:c>
      <x:c r="G10" s="35" t="str">
        <x:v>Front-loading began</x:v>
      </x:c>
      <x:c r="H10" s="35" t="str">
        <x:v>Cape rerouting absorbed vessel-days</x:v>
      </x:c>
      <x:c r="I10" s="35" t="str">
        <x:v>Longer voyages increased fuel use and tied up capacity, lifting rates beyond directly affected lanes.</x:v>
      </x:c>
      <x:c r="J10" s="35" t="str">
        <x:v>https://www.reuters.com/world/middle-east/container-rates-soar-concerns-prolonged-red-sea-disruption-2024-01-12/</x:v>
      </x:c>
    </x:row>
    <x:row r="11">
      <x:c r="A11" s="28" t="n">
        <x:v>45474</x:v>
      </x:c>
      <x:c r="B11" t="str">
        <x:v>Red Sea + peak-season high</x:v>
      </x:c>
      <x:c r="C11" s="30" t="n">
        <x:v>3650.37</x:v>
      </x:c>
      <x:c r="D11" s="30" t="n">
        <x:v>1776</x:v>
      </x:c>
      <x:c r="E11" s="30" t="n">
        <x:v>2062</x:v>
      </x:c>
      <x:c r="F11" s="32" t="n">
        <x:v>0.1610360360360361</x:v>
      </x:c>
      <x:c r="G11" s="35" t="str">
        <x:v>Early peak-season / front-loading</x:v>
      </x:c>
      <x:c r="H11" s="35" t="str">
        <x:v>Congestion and longer routes constrained slots</x:v>
      </x:c>
      <x:c r="I11" s="35" t="str">
        <x:v>Disruption combined with demand timing and equipment imbalances to produce a second rally.</x:v>
      </x:c>
      <x:c r="J11" s="35" t="str">
        <x:v>https://www.reuters.com/markets/commodities/red-sea-diversions-tariff-risks-send-ocean-shipping-soaring-2024-05-31/</x:v>
      </x:c>
    </x:row>
    <x:row r="12">
      <x:c r="A12" s="28" t="n">
        <x:v>45809</x:v>
      </x:c>
      <x:c r="B12" t="str">
        <x:v>Tariff-truce front-loading</x:v>
      </x:c>
      <x:c r="C12" s="30" t="n">
        <x:v>2100</x:v>
      </x:c>
      <x:c r="D12" s="30" t="n">
        <x:v>1350</x:v>
      </x:c>
      <x:c r="E12" s="30" t="n">
        <x:v>1320</x:v>
      </x:c>
      <x:c r="F12" s="32" t="n">
        <x:v>-0.022222222222222254</x:v>
      </x:c>
      <x:c r="G12" s="35" t="str">
        <x:v>Importers accelerated shipments</x:v>
      </x:c>
      <x:c r="H12" s="35" t="str">
        <x:v>Near-term capacity tightened</x:v>
      </x:c>
      <x:c r="I12" s="35" t="str">
        <x:v>Temporary US-China tariff relief changed shipment timing and caused a rapid transpacific rate spike.</x:v>
      </x:c>
      <x:c r="J12" s="35" t="str">
        <x:v>https://www.reuters.com/business/autos-transportation/tariff-fueled-surge-container-shipping-rates-shows-signs-peaking-2025-06-05/</x:v>
      </x:c>
    </x:row>
    <x:row r="13">
      <x:c r="A13" s="28" t="n">
        <x:v>45931</x:v>
      </x:c>
      <x:c r="B13" t="str">
        <x:v>US-China port-fee disruption</x:v>
      </x:c>
      <x:c r="C13" s="30" t="n">
        <x:v>1450</x:v>
      </x:c>
      <x:c r="D13" s="30" t="n">
        <x:v>1800</x:v>
      </x:c>
      <x:c r="E13" s="30" t="n">
        <x:v>1499</x:v>
      </x:c>
      <x:c r="F13" s="32" t="n">
        <x:v>-0.16722222222222227</x:v>
      </x:c>
      <x:c r="G13" s="35" t="str">
        <x:v>Demand timing shifted</x:v>
      </x:c>
      <x:c r="H13" s="35" t="str">
        <x:v>Eligible vessel pool narrowed</x:v>
      </x:c>
      <x:c r="I13" s="35" t="str">
        <x:v>Carriers reshuffled ships to avoid fees, reducing available capacity on affected trades.</x:v>
      </x:c>
      <x:c r="J13" s="35" t="str">
        <x:v>https://www.reuters.com/world/china/china-us-port-fees-disrupt-cargo-flows-push-up-rates-2025-10-17/</x:v>
      </x:c>
    </x:row>
    <x:row r="14">
      <x:c r="A14" s="28" t="n">
        <x:v>46082</x:v>
      </x:c>
      <x:c r="B14" t="str">
        <x:v>US-Iran conflict and fuel shock</x:v>
      </x:c>
      <x:c r="C14" s="30" t="n">
        <x:v>1500</x:v>
      </x:c>
      <x:c r="D14" s="30" t="n">
        <x:v>1700</x:v>
      </x:c>
      <x:c r="E14" s="30" t="n">
        <x:v>3018.26</x:v>
      </x:c>
      <x:c r="F14" s="32" t="n">
        <x:v>0.7754470588235296</x:v>
      </x:c>
      <x:c r="G14" s="35" t="str">
        <x:v>Importer anxiety / front-loading</x:v>
      </x:c>
      <x:c r="H14" s="35" t="str">
        <x:v>Bunker costs and war-risk constraints rose</x:v>
      </x:c>
      <x:c r="I14" s="35" t="str">
        <x:v>Fuel costs, route avoidance and risk surcharges transmitted a geopolitical shock across container lanes.</x:v>
      </x:c>
      <x:c r="J14" s="35" t="str">
        <x:v>https://www.reuters.com/business/energy/iran-war-anxiety-sends-global-container-shipping-rates-soaring-2026-06-10/</x:v>
      </x:c>
    </x:row>
    <x:row r="15">
      <x:c r="A15" s="28" t="n">
        <x:v>46204</x:v>
      </x:c>
      <x:c r="B15" t="str">
        <x:v>High-cost plateau</x:v>
      </x:c>
      <x:c r="C15" s="30" t="n">
        <x:v>3184.83</x:v>
      </x:c>
      <x:c r="D15" s="30" t="n">
        <x:v>1900</x:v>
      </x:c>
      <x:c r="E15" s="30" t="n">
        <x:v>3184.83</x:v>
      </x:c>
      <x:c r="F15" s="32" t="n">
        <x:v>0.6762263157894737</x:v>
      </x:c>
      <x:c r="G15" s="35" t="str">
        <x:v>Demand remained resilient</x:v>
      </x:c>
      <x:c r="H15" s="35" t="str">
        <x:v>Capacity still priced with disruption premium</x:v>
      </x:c>
      <x:c r="I15" s="35" t="str">
        <x:v>SCFI stayed above 3,000 amid fuel, conflict and policy risks, though below the 2022 record.</x:v>
      </x:c>
      <x:c r="J15" s="35" t="str">
        <x:v>https://tradingeconomics.com/commodity/containerized-freight-index</x:v>
      </x:c>
    </x:row>
  </x:sheetData>
  <x:mergeCells>
    <x:mergeCell ref="A1:J1"/>
  </x:mergeCells>
  <x:conditionalFormatting sqref="F4:F15">
    <x:cfRule type="colorScale" priority="1">
      <x:colorScale>
        <x:cfvo type="min"/>
        <x:cfvo type="percentile" val="50"/>
        <x:cfvo type="max"/>
        <x:color rgb="FFFECACA"/>
        <x:color rgb="FFFEF3C7"/>
        <x:color rgb="FFDCFCE7"/>
      </x:colorScale>
    </x:cfRule>
  </x:conditionalFormatting>
  <x:pageMargins left="0.7" right="0.7" top="0.75" bottom="0.75" header="0.3" footer="0.3"/>
  <x:tableParts count="1">
    <x:tablePart xmlns:r="http://schemas.openxmlformats.org/officeDocument/2006/relationships" r:id="R7f83904b0eec45cb"/>
  </x:tableParts>
</x:worksheet>
</file>

<file path=xl/worksheets/sheet4.xml><?xml version="1.0" encoding="utf-8"?>
<x:worksheet xmlns:x="http://schemas.openxmlformats.org/spreadsheetml/2006/main">
  <x:sheetFormatPr defaultRowHeight="15"/>
  <x:cols>
    <x:col min="1" max="1" width="7" hidden="0" customWidth="1"/>
    <x:col min="2" max="2" width="24" hidden="0" customWidth="1"/>
    <x:col min="3" max="3" width="23" hidden="0" customWidth="1"/>
    <x:col min="4" max="4" width="12" hidden="0" customWidth="1"/>
    <x:col min="5" max="5" width="11" hidden="0" customWidth="1"/>
    <x:col min="6" max="6" width="34" hidden="0" customWidth="1"/>
    <x:col min="7" max="7" width="48" hidden="0" customWidth="1"/>
  </x:cols>
  <x:sheetData>
    <x:row r="1" ht="32" customHeight="1">
      <x:c r="A1" s="46" t="str">
        <x:v>SCFI Route Structure and Methodology | Official SSE Framework</x:v>
      </x:c>
      <x:c r="B1" s="46"/>
      <x:c r="C1" s="46"/>
      <x:c r="D1" s="46"/>
      <x:c r="E1" s="46"/>
      <x:c r="F1" s="46"/>
      <x:c r="G1" s="46"/>
    </x:row>
    <x:row r="2" ht="28" customHeight="1">
      <x:c r="A2" s="58" t="str">
        <x:v>SCFI is a weighted average of Shanghai export spot rates. Individual routes use arithmetic means; base period: 16 Oct 2009 = 1,000.</x:v>
      </x:c>
      <x:c r="B2" s="58"/>
      <x:c r="C2" s="58"/>
      <x:c r="D2" s="58"/>
      <x:c r="E2" s="58"/>
      <x:c r="F2" s="58"/>
      <x:c r="G2" s="58"/>
    </x:row>
    <x:row r="4" ht="28" customHeight="1">
      <x:c r="A4" s="64" t="str">
        <x:v>No.</x:v>
      </x:c>
      <x:c r="B4" s="64" t="str">
        <x:v>Route</x:v>
      </x:c>
      <x:c r="C4" s="64" t="str">
        <x:v>Benchmark Port / Scope</x:v>
      </x:c>
      <x:c r="D4" s="64" t="str">
        <x:v>Unit</x:v>
      </x:c>
      <x:c r="E4" s="64" t="str">
        <x:v>Weight</x:v>
      </x:c>
      <x:c r="F4" s="64" t="str">
        <x:v>Market Role</x:v>
      </x:c>
      <x:c r="G4" s="64" t="str">
        <x:v>Official Reference</x:v>
      </x:c>
    </x:row>
    <x:row r="5">
      <x:c r="A5" t="n">
        <x:v>1</x:v>
      </x:c>
      <x:c r="B5" t="str">
        <x:v>Europe 20ft</x:v>
      </x:c>
      <x:c r="C5" t="str">
        <x:v>Base ports</x:v>
      </x:c>
      <x:c r="D5" t="str">
        <x:v>USD/TEU</x:v>
      </x:c>
      <x:c r="E5" s="32" t="n">
        <x:v>0.2</x:v>
      </x:c>
      <x:c r="F5" s="35" t="str">
        <x:v>Largest Asia-Europe component</x:v>
      </x:c>
      <x:c r="G5" s="35" t="str">
        <x:v>https://en.sse.net.cn/indices/scfinew.jsp</x:v>
      </x:c>
    </x:row>
    <x:row r="6">
      <x:c r="A6" t="n">
        <x:v>2</x:v>
      </x:c>
      <x:c r="B6" t="str">
        <x:v>Europe 40ft</x:v>
      </x:c>
      <x:c r="C6" t="str">
        <x:v>Base ports</x:v>
      </x:c>
      <x:c r="D6" t="str">
        <x:v>USD/FEU</x:v>
      </x:c>
      <x:c r="E6" s="32" t="n">
        <x:v>0</x:v>
      </x:c>
      <x:c r="F6" s="35" t="str">
        <x:v>Published rate line; zero composite weight</x:v>
      </x:c>
      <x:c r="G6" s="35" t="str">
        <x:v>https://en.sse.net.cn/indices/scfinew.jsp</x:v>
      </x:c>
    </x:row>
    <x:row r="7">
      <x:c r="A7" t="n">
        <x:v>3</x:v>
      </x:c>
      <x:c r="B7" t="str">
        <x:v>Mediterranean 20ft</x:v>
      </x:c>
      <x:c r="C7" t="str">
        <x:v>Base ports</x:v>
      </x:c>
      <x:c r="D7" t="str">
        <x:v>USD/TEU</x:v>
      </x:c>
      <x:c r="E7" s="32" t="n">
        <x:v>0.1</x:v>
      </x:c>
      <x:c r="F7" s="35" t="str">
        <x:v>Suez / Cape sensitive</x:v>
      </x:c>
      <x:c r="G7" s="35" t="str">
        <x:v>https://en.sse.net.cn/indices/scfinew.jsp</x:v>
      </x:c>
    </x:row>
    <x:row r="8">
      <x:c r="A8" t="n">
        <x:v>4</x:v>
      </x:c>
      <x:c r="B8" t="str">
        <x:v>Mediterranean 40ft</x:v>
      </x:c>
      <x:c r="C8" t="str">
        <x:v>Base ports</x:v>
      </x:c>
      <x:c r="D8" t="str">
        <x:v>USD/FEU</x:v>
      </x:c>
      <x:c r="E8" s="32" t="n">
        <x:v>0</x:v>
      </x:c>
      <x:c r="F8" s="35" t="str">
        <x:v>Published rate line; zero composite weight</x:v>
      </x:c>
      <x:c r="G8" s="35" t="str">
        <x:v>https://en.sse.net.cn/indices/scfinew.jsp</x:v>
      </x:c>
    </x:row>
    <x:row r="9">
      <x:c r="A9" t="n">
        <x:v>5</x:v>
      </x:c>
      <x:c r="B9" t="str">
        <x:v>US West Coast</x:v>
      </x:c>
      <x:c r="C9" t="str">
        <x:v>Base ports</x:v>
      </x:c>
      <x:c r="D9" t="str">
        <x:v>USD/FEU</x:v>
      </x:c>
      <x:c r="E9" s="32" t="n">
        <x:v>0.2</x:v>
      </x:c>
      <x:c r="F9" s="35" t="str">
        <x:v>Largest transpacific component</x:v>
      </x:c>
      <x:c r="G9" s="35" t="str">
        <x:v>https://en.sse.net.cn/indices/scfinew.jsp</x:v>
      </x:c>
    </x:row>
    <x:row r="10">
      <x:c r="A10" t="n">
        <x:v>6</x:v>
      </x:c>
      <x:c r="B10" t="str">
        <x:v>US East Coast</x:v>
      </x:c>
      <x:c r="C10" t="str">
        <x:v>Base ports</x:v>
      </x:c>
      <x:c r="D10" t="str">
        <x:v>USD/FEU</x:v>
      </x:c>
      <x:c r="E10" s="32" t="n">
        <x:v>0.075</x:v>
      </x:c>
      <x:c r="F10" s="35" t="str">
        <x:v>Panama/Suez and intermodal sensitivity</x:v>
      </x:c>
      <x:c r="G10" s="35" t="str">
        <x:v>https://en.sse.net.cn/indices/scfinew.jsp</x:v>
      </x:c>
    </x:row>
    <x:row r="11">
      <x:c r="A11" t="n">
        <x:v>7</x:v>
      </x:c>
      <x:c r="B11" t="str">
        <x:v>Persian Gulf / Red Sea</x:v>
      </x:c>
      <x:c r="C11" t="str">
        <x:v>Dubai</x:v>
      </x:c>
      <x:c r="D11" t="str">
        <x:v>USD/TEU</x:v>
      </x:c>
      <x:c r="E11" s="32" t="n">
        <x:v>0.075</x:v>
      </x:c>
      <x:c r="F11" s="35" t="str">
        <x:v>Geopolitical and fuel-risk exposure</x:v>
      </x:c>
      <x:c r="G11" s="35" t="str">
        <x:v>https://en.sse.net.cn/indices/scfinew.jsp</x:v>
      </x:c>
    </x:row>
    <x:row r="12">
      <x:c r="A12" t="n">
        <x:v>8</x:v>
      </x:c>
      <x:c r="B12" t="str">
        <x:v>Australia / New Zealand</x:v>
      </x:c>
      <x:c r="C12" t="str">
        <x:v>Melbourne</x:v>
      </x:c>
      <x:c r="D12" t="str">
        <x:v>USD/TEU</x:v>
      </x:c>
      <x:c r="E12" s="32" t="n">
        <x:v>0.05</x:v>
      </x:c>
      <x:c r="F12" s="35" t="str">
        <x:v>Regional trade component</x:v>
      </x:c>
      <x:c r="G12" s="35" t="str">
        <x:v>https://en.sse.net.cn/indices/scfinew.jsp</x:v>
      </x:c>
    </x:row>
    <x:row r="13">
      <x:c r="A13" t="n">
        <x:v>9</x:v>
      </x:c>
      <x:c r="B13" t="str">
        <x:v>East / West Africa</x:v>
      </x:c>
      <x:c r="C13" t="str">
        <x:v>Lagos</x:v>
      </x:c>
      <x:c r="D13" t="str">
        <x:v>USD/TEU</x:v>
      </x:c>
      <x:c r="E13" s="32" t="n">
        <x:v>0.025</x:v>
      </x:c>
      <x:c r="F13" s="35" t="str">
        <x:v>Long-haul emerging-market lane</x:v>
      </x:c>
      <x:c r="G13" s="35" t="str">
        <x:v>https://en.sse.net.cn/indices/scfinew.jsp</x:v>
      </x:c>
    </x:row>
    <x:row r="14">
      <x:c r="A14" t="n">
        <x:v>10</x:v>
      </x:c>
      <x:c r="B14" t="str">
        <x:v>South Africa</x:v>
      </x:c>
      <x:c r="C14" t="str">
        <x:v>Durban</x:v>
      </x:c>
      <x:c r="D14" t="str">
        <x:v>USD/TEU</x:v>
      </x:c>
      <x:c r="E14" s="32" t="n">
        <x:v>0.025</x:v>
      </x:c>
      <x:c r="F14" s="35" t="str">
        <x:v>Cape gateway lane</x:v>
      </x:c>
      <x:c r="G14" s="35" t="str">
        <x:v>https://en.sse.net.cn/indices/scfinew.jsp</x:v>
      </x:c>
    </x:row>
    <x:row r="15">
      <x:c r="A15" t="n">
        <x:v>11</x:v>
      </x:c>
      <x:c r="B15" t="str">
        <x:v>South America</x:v>
      </x:c>
      <x:c r="C15" t="str">
        <x:v>Santos</x:v>
      </x:c>
      <x:c r="D15" t="str">
        <x:v>USD/TEU</x:v>
      </x:c>
      <x:c r="E15" s="32" t="n">
        <x:v>0.05</x:v>
      </x:c>
      <x:c r="F15" s="35" t="str">
        <x:v>Long-haul capacity-sensitive lane</x:v>
      </x:c>
      <x:c r="G15" s="35" t="str">
        <x:v>https://en.sse.net.cn/indices/scfinew.jsp</x:v>
      </x:c>
    </x:row>
    <x:row r="16">
      <x:c r="A16" t="n">
        <x:v>12</x:v>
      </x:c>
      <x:c r="B16" t="str">
        <x:v>West Japan</x:v>
      </x:c>
      <x:c r="C16" t="str">
        <x:v>Base ports</x:v>
      </x:c>
      <x:c r="D16" t="str">
        <x:v>USD/TEU</x:v>
      </x:c>
      <x:c r="E16" s="32" t="n">
        <x:v>0.05</x:v>
      </x:c>
      <x:c r="F16" s="35" t="str">
        <x:v>Short-sea Asia lane</x:v>
      </x:c>
      <x:c r="G16" s="35" t="str">
        <x:v>https://en.sse.net.cn/indices/scfinew.jsp</x:v>
      </x:c>
    </x:row>
    <x:row r="17">
      <x:c r="A17" t="n">
        <x:v>13</x:v>
      </x:c>
      <x:c r="B17" t="str">
        <x:v>East Japan</x:v>
      </x:c>
      <x:c r="C17" t="str">
        <x:v>Base ports</x:v>
      </x:c>
      <x:c r="D17" t="str">
        <x:v>USD/TEU</x:v>
      </x:c>
      <x:c r="E17" s="32" t="n">
        <x:v>0.05</x:v>
      </x:c>
      <x:c r="F17" s="35" t="str">
        <x:v>Short-sea Asia lane</x:v>
      </x:c>
      <x:c r="G17" s="35" t="str">
        <x:v>https://en.sse.net.cn/indices/scfinew.jsp</x:v>
      </x:c>
    </x:row>
    <x:row r="18">
      <x:c r="A18" t="n">
        <x:v>14</x:v>
      </x:c>
      <x:c r="B18" t="str">
        <x:v>Southeast Asia</x:v>
      </x:c>
      <x:c r="C18" t="str">
        <x:v>Singapore</x:v>
      </x:c>
      <x:c r="D18" t="str">
        <x:v>USD/TEU</x:v>
      </x:c>
      <x:c r="E18" s="32" t="n">
        <x:v>0.075</x:v>
      </x:c>
      <x:c r="F18" s="35" t="str">
        <x:v>Regional hub and feeder indicator</x:v>
      </x:c>
      <x:c r="G18" s="35" t="str">
        <x:v>https://en.sse.net.cn/indices/scfinew.jsp</x:v>
      </x:c>
    </x:row>
    <x:row r="19">
      <x:c r="A19" t="n">
        <x:v>15</x:v>
      </x:c>
      <x:c r="B19" t="str">
        <x:v>Korea</x:v>
      </x:c>
      <x:c r="C19" t="str">
        <x:v>Busan</x:v>
      </x:c>
      <x:c r="D19" t="str">
        <x:v>USD/TEU</x:v>
      </x:c>
      <x:c r="E19" s="32" t="n">
        <x:v>0.025</x:v>
      </x:c>
      <x:c r="F19" s="35" t="str">
        <x:v>Short-sea Asia lane</x:v>
      </x:c>
      <x:c r="G19" s="35" t="str">
        <x:v>https://en.sse.net.cn/indices/scfinew.jsp</x:v>
      </x:c>
    </x:row>
  </x:sheetData>
  <x:mergeCells>
    <x:mergeCell ref="A1:G1"/>
    <x:mergeCell ref="A2:G2"/>
  </x:mergeCells>
  <x:conditionalFormatting sqref="E5:E19">
    <x:cfRule type="dataBar" priority="1">
      <x:dataBar>
        <x:cfvo type="min"/>
        <x:cfvo type="max"/>
        <x:color rgb="FF0F766E"/>
      </x:dataBar>
      <x:extLst>
        <x:ext xmlns:x14="http://schemas.microsoft.com/office/spreadsheetml/2009/9/main" uri="{B025F937-C7B1-47D3-B67F-A62EFF666E3E}">
          <x14:id>{3DEB41F6-BF24-02A7-2131-D112F92A53D9}</x14:id>
        </x:ext>
      </x:extLst>
    </x:cfRule>
  </x:conditionalFormatting>
  <x:pageMargins left="0.7" right="0.7" top="0.75" bottom="0.75" header="0.3" footer="0.3"/>
  <x:tableParts count="1">
    <x:tablePart xmlns:r="http://schemas.openxmlformats.org/officeDocument/2006/relationships" r:id="Rf464e17ac0c1493d"/>
  </x:tableParts>
  <x:extLst>
    <x:ext xmlns:x14="http://schemas.microsoft.com/office/spreadsheetml/2009/9/main" xmlns:xm="http://schemas.microsoft.com/office/excel/2006/main" uri="{78C0D931-6437-407d-A8EE-F0AAD7539E65}">
      <x14:conditionalFormattings>
        <x14:conditionalFormatting>
          <x14:cfRule type="dataBar" priority="1" id="{3DEB41F6-BF24-02A7-2131-D112F92A53D9}">
            <x14:dataBar gradient="1">
              <x14:cfvo type="min"/>
              <x14:cfvo type="max"/>
              <x14:fillColor rgb="FF0F766E"/>
            </x14:dataBar>
          </x14:cfRule>
          <xm:sqref>E5:E19</xm:sqref>
        </x14:conditionalFormatting>
      </x14:conditionalFormattings>
    </x:ext>
  </x:extLst>
</x:worksheet>
</file>

<file path=xl/worksheets/sheet5.xml><?xml version="1.0" encoding="utf-8"?>
<x:worksheet xmlns:x="http://schemas.openxmlformats.org/spreadsheetml/2006/main">
  <x:sheetFormatPr defaultRowHeight="15"/>
  <x:cols>
    <x:col min="1" max="1" width="24" hidden="0" customWidth="1"/>
    <x:col min="2" max="2" width="15" hidden="0" customWidth="1"/>
    <x:col min="3" max="3" width="35" hidden="0" customWidth="1"/>
    <x:col min="4" max="4" width="48" hidden="0" customWidth="1"/>
    <x:col min="5" max="5" width="13" hidden="0" customWidth="1"/>
    <x:col min="6" max="6" width="19" hidden="0" customWidth="1"/>
    <x:col min="7" max="7" width="38" hidden="0" customWidth="1"/>
    <x:col min="8" max="8" width="48" hidden="0" customWidth="1"/>
  </x:cols>
  <x:sheetData>
    <x:row r="1" ht="32" customHeight="1">
      <x:c r="A1" s="46" t="str">
        <x:v>Container Freight Driver Model | 集装箱运价传导框架</x:v>
      </x:c>
      <x:c r="B1" s="46"/>
      <x:c r="C1" s="46"/>
      <x:c r="D1" s="46"/>
      <x:c r="E1" s="46"/>
      <x:c r="F1" s="46"/>
      <x:c r="G1" s="46"/>
      <x:c r="H1" s="46"/>
    </x:row>
    <x:row r="3" ht="32" customHeight="1">
      <x:c r="A3" s="21" t="str">
        <x:v>Driver</x:v>
      </x:c>
      <x:c r="B3" s="21" t="str">
        <x:v>Side</x:v>
      </x:c>
      <x:c r="C3" s="21" t="str">
        <x:v>Typical Signal</x:v>
      </x:c>
      <x:c r="D3" s="21" t="str">
        <x:v>Transmission to SCFI</x:v>
      </x:c>
      <x:c r="E3" s="21" t="str">
        <x:v>Lag</x:v>
      </x:c>
      <x:c r="F3" s="21" t="str">
        <x:v>2026 Relevance (1-5)</x:v>
      </x:c>
      <x:c r="G3" s="21" t="str">
        <x:v>What to Monitor</x:v>
      </x:c>
      <x:c r="H3" s="21" t="str">
        <x:v>Interview Insight</x:v>
      </x:c>
    </x:row>
    <x:row r="4">
      <x:c r="A4" s="35" t="str">
        <x:v>Consumer-goods demand</x:v>
      </x:c>
      <x:c r="B4" s="35" t="str">
        <x:v>Demand</x:v>
      </x:c>
      <x:c r="C4" s="35" t="str">
        <x:v>Retail sales, PMI new export orders, inventory cycle</x:v>
      </x:c>
      <x:c r="D4" s="35" t="str">
        <x:v>More bookings compete for limited weekly slots</x:v>
      </x:c>
      <x:c r="E4" s="35" t="str">
        <x:v>0-2 months</x:v>
      </x:c>
      <x:c r="F4" s="35" t="n">
        <x:v>4</x:v>
      </x:c>
      <x:c r="G4" s="35" t="str">
        <x:v>US/EU retail and import volumes</x:v>
      </x:c>
      <x:c r="H4" s="35" t="str">
        <x:v>SCFI reacts faster than GDP because it is a weekly spot market.</x:v>
      </x:c>
    </x:row>
    <x:row r="5">
      <x:c r="A5" s="35" t="str">
        <x:v>Front-loading / tariffs</x:v>
      </x:c>
      <x:c r="B5" s="35" t="str">
        <x:v>Demand timing</x:v>
      </x:c>
      <x:c r="C5" s="35" t="str">
        <x:v>Policy deadlines and tariff pauses</x:v>
      </x:c>
      <x:c r="D5" s="35" t="str">
        <x:v>Pulls future cargo into a short window, causing rate spikes</x:v>
      </x:c>
      <x:c r="E5" s="35" t="str">
        <x:v>Immediate</x:v>
      </x:c>
      <x:c r="F5" s="35" t="n">
        <x:v>5</x:v>
      </x:c>
      <x:c r="G5" s="35" t="str">
        <x:v>Tariff announcements and booking lead times</x:v>
      </x:c>
      <x:c r="H5" s="35" t="str">
        <x:v>Shipment timing can lift rates without improving full-year demand.</x:v>
      </x:c>
    </x:row>
    <x:row r="6">
      <x:c r="A6" s="35" t="str">
        <x:v>Nominal fleet growth</x:v>
      </x:c>
      <x:c r="B6" s="35" t="str">
        <x:v>Supply</x:v>
      </x:c>
      <x:c r="C6" s="35" t="str">
        <x:v>Newbuilding deliveries and scrapping</x:v>
      </x:c>
      <x:c r="D6" s="35" t="str">
        <x:v>More TEU capacity lowers rates if not absorbed by longer routes</x:v>
      </x:c>
      <x:c r="E6" s="35" t="str">
        <x:v>6-24 months</x:v>
      </x:c>
      <x:c r="F6" s="35" t="n">
        <x:v>4</x:v>
      </x:c>
      <x:c r="G6" s="35" t="str">
        <x:v>Fleet growth, orderbook, idle fleet</x:v>
      </x:c>
      <x:c r="H6" s="35" t="str">
        <x:v>Nominal supply is not the same as effective supply.</x:v>
      </x:c>
    </x:row>
    <x:row r="7">
      <x:c r="A7" s="35" t="str">
        <x:v>Port congestion</x:v>
      </x:c>
      <x:c r="B7" s="35" t="str">
        <x:v>Effective supply</x:v>
      </x:c>
      <x:c r="C7" s="35" t="str">
        <x:v>Waiting time and schedule reliability</x:v>
      </x:c>
      <x:c r="D7" s="35" t="str">
        <x:v>Longer round trips reduce productive vessel capacity</x:v>
      </x:c>
      <x:c r="E7" s="35" t="str">
        <x:v>Immediate</x:v>
      </x:c>
      <x:c r="F7" s="35" t="n">
        <x:v>4</x:v>
      </x:c>
      <x:c r="G7" s="35" t="str">
        <x:v>Port calls, queue time, reliability</x:v>
      </x:c>
      <x:c r="H7" s="35" t="str">
        <x:v>Congestion is economically similar to removing ships from service.</x:v>
      </x:c>
    </x:row>
    <x:row r="8">
      <x:c r="A8" s="35" t="str">
        <x:v>Rerouting / distance</x:v>
      </x:c>
      <x:c r="B8" s="35" t="str">
        <x:v>Effective supply</x:v>
      </x:c>
      <x:c r="C8" s="35" t="str">
        <x:v>Cape diversions and chokepoint closures</x:v>
      </x:c>
      <x:c r="D8" s="35" t="str">
        <x:v>More vessel-days and fuel per voyage absorb capacity</x:v>
      </x:c>
      <x:c r="E8" s="35" t="str">
        <x:v>Immediate</x:v>
      </x:c>
      <x:c r="F8" s="35" t="n">
        <x:v>5</x:v>
      </x:c>
      <x:c r="G8" s="35" t="str">
        <x:v>Suez, Red Sea, Hormuz, Panama</x:v>
      </x:c>
      <x:c r="H8" s="35" t="str">
        <x:v>Tonne-mile logic matters in container shipping too, but via slot-days.</x:v>
      </x:c>
    </x:row>
    <x:row r="9">
      <x:c r="A9" s="35" t="str">
        <x:v>Blank sailings</x:v>
      </x:c>
      <x:c r="B9" s="35" t="str">
        <x:v>Carrier management</x:v>
      </x:c>
      <x:c r="C9" s="35" t="str">
        <x:v>Cancelled departures</x:v>
      </x:c>
      <x:c r="D9" s="35" t="str">
        <x:v>Restricts weekly slots and supports spot rates</x:v>
      </x:c>
      <x:c r="E9" s="35" t="str">
        <x:v>1-4 weeks</x:v>
      </x:c>
      <x:c r="F9" s="35" t="n">
        <x:v>4</x:v>
      </x:c>
      <x:c r="G9" s="35" t="str">
        <x:v>Blank-sailing announcements</x:v>
      </x:c>
      <x:c r="H9" s="35" t="str">
        <x:v>Liner companies actively manage supply, unlike fragmented bulk markets.</x:v>
      </x:c>
    </x:row>
    <x:row r="10">
      <x:c r="A10" s="35" t="str">
        <x:v>Fuel / surcharges</x:v>
      </x:c>
      <x:c r="B10" s="35" t="str">
        <x:v>Cost + supply</x:v>
      </x:c>
      <x:c r="C10" s="35" t="str">
        <x:v>Bunker prices and emergency surcharges</x:v>
      </x:c>
      <x:c r="D10" s="35" t="str">
        <x:v>Raises quoted all-in rates and may change routing</x:v>
      </x:c>
      <x:c r="E10" s="35" t="str">
        <x:v>Immediate</x:v>
      </x:c>
      <x:c r="F10" s="35" t="n">
        <x:v>5</x:v>
      </x:c>
      <x:c r="G10" s="35" t="str">
        <x:v>VLSFO, war-risk surcharge, BAF</x:v>
      </x:c>
      <x:c r="H10" s="35" t="str">
        <x:v>Costs matter, but rates persist only when capacity/demand balance allows pass-through.</x:v>
      </x:c>
    </x:row>
    <x:row r="11">
      <x:c r="A11" s="35" t="str">
        <x:v>Equipment availability</x:v>
      </x:c>
      <x:c r="B11" s="35" t="str">
        <x:v>Effective supply</x:v>
      </x:c>
      <x:c r="C11" s="35" t="str">
        <x:v>Empty-container imbalance</x:v>
      </x:c>
      <x:c r="D11" s="35" t="str">
        <x:v>Limits export bookings even when vessel slots exist</x:v>
      </x:c>
      <x:c r="E11" s="35" t="str">
        <x:v>1-8 weeks</x:v>
      </x:c>
      <x:c r="F11" s="35" t="n">
        <x:v>3</x:v>
      </x:c>
      <x:c r="G11" s="35" t="str">
        <x:v>Container availability and repositioning</x:v>
      </x:c>
      <x:c r="H11" s="35" t="str">
        <x:v>A container shortage can be a capacity shortage at origin.</x:v>
      </x:c>
    </x:row>
    <x:row r="12">
      <x:c r="A12" s="35" t="str">
        <x:v>Alliance / network changes</x:v>
      </x:c>
      <x:c r="B12" s="35" t="str">
        <x:v>Supply deployment</x:v>
      </x:c>
      <x:c r="C12" s="35" t="str">
        <x:v>Service reshuffles and port omissions</x:v>
      </x:c>
      <x:c r="D12" s="35" t="str">
        <x:v>Changes local slot supply and schedule reliability</x:v>
      </x:c>
      <x:c r="E12" s="35" t="str">
        <x:v>1-3 months</x:v>
      </x:c>
      <x:c r="F12" s="35" t="n">
        <x:v>3</x:v>
      </x:c>
      <x:c r="G12" s="35" t="str">
        <x:v>Gemini, Premier, Ocean, MSC networks</x:v>
      </x:c>
      <x:c r="H12" s="35" t="str">
        <x:v>Network design moves capacity between trades without changing total fleet.</x:v>
      </x:c>
    </x:row>
  </x:sheetData>
  <x:mergeCells>
    <x:mergeCell ref="A1:H1"/>
  </x:mergeCells>
  <x:conditionalFormatting sqref="F4:F12">
    <x:cfRule type="dataBar" priority="1">
      <x:dataBar>
        <x:cfvo type="min"/>
        <x:cfvo type="max"/>
        <x:color rgb="FFD97706"/>
      </x:dataBar>
      <x:extLst>
        <x:ext xmlns:x14="http://schemas.microsoft.com/office/spreadsheetml/2009/9/main" uri="{B025F937-C7B1-47D3-B67F-A62EFF666E3E}">
          <x14:id>{AB4A5348-9F6A-7170-DACE-7916378EB423}</x14:id>
        </x:ext>
      </x:extLst>
    </x:cfRule>
  </x:conditionalFormatting>
  <x:pageMargins left="0.7" right="0.7" top="0.75" bottom="0.75" header="0.3" footer="0.3"/>
  <x:tableParts count="1">
    <x:tablePart xmlns:r="http://schemas.openxmlformats.org/officeDocument/2006/relationships" r:id="R7586bac14d8943e5"/>
  </x:tableParts>
  <x:extLst>
    <x:ext xmlns:x14="http://schemas.microsoft.com/office/spreadsheetml/2009/9/main" xmlns:xm="http://schemas.microsoft.com/office/excel/2006/main" uri="{78C0D931-6437-407d-A8EE-F0AAD7539E65}">
      <x14:conditionalFormattings>
        <x14:conditionalFormatting>
          <x14:cfRule type="dataBar" priority="1" id="{AB4A5348-9F6A-7170-DACE-7916378EB423}">
            <x14:dataBar gradient="1">
              <x14:cfvo type="min"/>
              <x14:cfvo type="max"/>
              <x14:fillColor rgb="FFD97706"/>
            </x14:dataBar>
          </x14:cfRule>
          <xm:sqref>F4:F12</xm:sqref>
        </x14:conditionalFormatting>
      </x14:conditionalFormattings>
    </x:ext>
  </x:extLst>
</x:worksheet>
</file>

<file path=xl/worksheets/sheet6.xml><?xml version="1.0" encoding="utf-8"?>
<x:worksheet xmlns:x="http://schemas.openxmlformats.org/spreadsheetml/2006/main">
  <x:sheetFormatPr defaultRowHeight="15"/>
  <x:cols>
    <x:col min="1" max="1" width="23" hidden="0" customWidth="1"/>
    <x:col min="2" max="2" width="45" hidden="0" customWidth="1"/>
    <x:col min="3" max="3" width="30" hidden="0" customWidth="1"/>
    <x:col min="4" max="4" width="25" hidden="0" customWidth="1"/>
    <x:col min="5" max="5" width="55" hidden="0" customWidth="1"/>
    <x:col min="6" max="6" width="50" hidden="0" customWidth="1"/>
  </x:cols>
  <x:sheetData>
    <x:row r="1" ht="32" customHeight="1">
      <x:c r="A1" s="46" t="str">
        <x:v>Data Quality, Licensing and Reproducibility</x:v>
      </x:c>
      <x:c r="B1" s="46"/>
      <x:c r="C1" s="46"/>
      <x:c r="D1" s="46"/>
      <x:c r="E1" s="46"/>
      <x:c r="F1" s="46"/>
    </x:row>
    <x:row r="3" ht="34" customHeight="1">
      <x:c r="A3" s="72" t="str">
        <x:v>Layer</x:v>
      </x:c>
      <x:c r="B3" s="72" t="str">
        <x:v>What is included</x:v>
      </x:c>
      <x:c r="C3" s="72" t="str">
        <x:v>Status</x:v>
      </x:c>
      <x:c r="D3" s="72" t="str">
        <x:v>Can be described as official?</x:v>
      </x:c>
      <x:c r="E3" s="72" t="str">
        <x:v>Recommended wording</x:v>
      </x:c>
      <x:c r="F3" s="72" t="str">
        <x:v>Reference</x:v>
      </x:c>
    </x:row>
    <x:row r="4">
      <x:c r="A4" s="35" t="str">
        <x:v>Official methodology</x:v>
      </x:c>
      <x:c r="B4" s="35" t="str">
        <x:v>Definition, calculation method, publication frequency, route structure</x:v>
      </x:c>
      <x:c r="C4" s="35" t="str">
        <x:v>Official SSE public information</x:v>
      </x:c>
      <x:c r="D4" s="35" t="str">
        <x:v>Yes</x:v>
      </x:c>
      <x:c r="E4" s="35" t="str">
        <x:v>SCFI is published weekly by Shanghai Shipping Exchange and reflects Shanghai export spot rates.</x:v>
      </x:c>
      <x:c r="F4" s="35" t="str">
        <x:v>https://en.sse.net.cn/indices/fqaennew.jsp</x:v>
      </x:c>
    </x:row>
    <x:row r="5">
      <x:c r="A5" s="35" t="str">
        <x:v>Published anchors</x:v>
      </x:c>
      <x:c r="B5" s="35" t="str">
        <x:v>Selected historical snapshots, historical high and latest public reading</x:v>
      </x:c>
      <x:c r="C5" s="35" t="str">
        <x:v>Third-party published observations</x:v>
      </x:c>
      <x:c r="D5" s="35" t="str">
        <x:v>Only the specific anchor</x:v>
      </x:c>
      <x:c r="E5" s="35" t="str">
        <x:v>Published anchor / current public reading from the named source.</x:v>
      </x:c>
      <x:c r="F5" s="35" t="str">
        <x:v>https://tradingeconomics.com/commodity/containerized-freight-index</x:v>
      </x:c>
    </x:row>
    <x:row r="6">
      <x:c r="A6" s="35" t="str">
        <x:v>Monthly reference curve</x:v>
      </x:c>
      <x:c r="B6" s="35" t="str">
        <x:v>79 monthly observations used for portfolio visualization</x:v>
      </x:c>
      <x:c r="C6" s="35" t="str">
        <x:v>Trend reconstruction</x:v>
      </x:c>
      <x:c r="D6" s="35" t="str">
        <x:v>No</x:v>
      </x:c>
      <x:c r="E6" s="35" t="str">
        <x:v>Monthly reference curve reconstructed from public charts and published anchors.</x:v>
      </x:c>
      <x:c r="F6" s="35" t="str">
        <x:v>https://en.sse.net.cn/indices/scfinew.jsp</x:v>
      </x:c>
    </x:row>
    <x:row r="7">
      <x:c r="A7" s="35" t="str">
        <x:v>Event explanations</x:v>
      </x:c>
      <x:c r="B7" s="35" t="str">
        <x:v>Industry-mechanism interpretation using public reporting</x:v>
      </x:c>
      <x:c r="C7" s="35" t="str">
        <x:v>Analytical interpretation</x:v>
      </x:c>
      <x:c r="D7" s="35" t="str">
        <x:v>No</x:v>
      </x:c>
      <x:c r="E7" s="35" t="str">
        <x:v>The event analysis is an evidence-based interpretation, not causal proof.</x:v>
      </x:c>
      <x:c r="F7" s="35" t="str">
        <x:v>https://www.reuters.com/</x:v>
      </x:c>
    </x:row>
    <x:row r="8">
      <x:c r="A8" s="35" t="str">
        <x:v>Project use</x:v>
      </x:c>
      <x:c r="B8" s="35" t="str">
        <x:v>Excel/Python practice, portfolio and interview discussion</x:v>
      </x:c>
      <x:c r="C8" s="35" t="str">
        <x:v>Educational / portfolio</x:v>
      </x:c>
      <x:c r="D8" s="35" t="str">
        <x:v>No commercial redistribution</x:v>
      </x:c>
      <x:c r="E8" s="35" t="str">
        <x:v>Use for learning and portfolio demonstration; do not resell as licensed data.</x:v>
      </x:c>
      <x:c r="F8" s="35" t="str">
        <x:v>https://en.sse.net.cn/indices/scfinew.jsp</x:v>
      </x:c>
    </x:row>
    <x:row r="11" ht="26" customHeight="1">
      <x:c r="A11" s="77" t="str">
        <x:v>Reproducibility checklist</x:v>
      </x:c>
      <x:c r="B11" s="77"/>
      <x:c r="C11" s="77"/>
      <x:c r="D11" s="77"/>
      <x:c r="E11" s="77"/>
      <x:c r="F11" s="77"/>
    </x:row>
    <x:row r="12">
      <x:c r="A12" s="34" t="str">
        <x:v>1</x:v>
      </x:c>
      <x:c r="B12" s="34" t="str">
        <x:v>CSV stored in /data</x:v>
      </x:c>
      <x:c r="C12" s="34" t="str">
        <x:v>Complete</x:v>
      </x:c>
      <x:c r="D12" t="str"/>
      <x:c r="E12" t="str"/>
      <x:c r="F12" t="str"/>
    </x:row>
    <x:row r="13">
      <x:c r="A13" s="34" t="str">
        <x:v>2</x:v>
      </x:c>
      <x:c r="B13" s="34" t="str">
        <x:v>Excel formulas for MoM, YoY, moving averages and drawdown</x:v>
      </x:c>
      <x:c r="C13" s="34" t="str">
        <x:v>Complete</x:v>
      </x:c>
      <x:c r="D13" t="str"/>
      <x:c r="E13" t="str"/>
      <x:c r="F13" t="str"/>
    </x:row>
    <x:row r="14">
      <x:c r="A14" s="34" t="str">
        <x:v>3</x:v>
      </x:c>
      <x:c r="B14" s="34" t="str">
        <x:v>Python script reads CSV and regenerates charts</x:v>
      </x:c>
      <x:c r="C14" s="34" t="str">
        <x:v>Complete</x:v>
      </x:c>
      <x:c r="D14" t="str"/>
      <x:c r="E14" t="str"/>
      <x:c r="F14" t="str"/>
    </x:row>
    <x:row r="15">
      <x:c r="A15" s="34" t="str">
        <x:v>4</x:v>
      </x:c>
      <x:c r="B15" s="34" t="str">
        <x:v>README documents data limitations and sources</x:v>
      </x:c>
      <x:c r="C15" s="34" t="str">
        <x:v>Complete</x:v>
      </x:c>
      <x:c r="D15" t="str"/>
      <x:c r="E15" t="str"/>
      <x:c r="F15" t="str"/>
    </x:row>
    <x:row r="16">
      <x:c r="A16" s="34" t="str">
        <x:v>5</x:v>
      </x:c>
      <x:c r="B16" s="34" t="str">
        <x:v>Report separates fact, source and interpretation</x:v>
      </x:c>
      <x:c r="C16" s="34" t="str">
        <x:v>Complete</x:v>
      </x:c>
      <x:c r="D16" t="str"/>
      <x:c r="E16" t="str"/>
      <x:c r="F16" t="str"/>
    </x:row>
  </x:sheetData>
  <x:mergeCells>
    <x:mergeCell ref="A1:F1"/>
    <x:mergeCell ref="A11:F11"/>
  </x:mergeCells>
  <x:pageMargins left="0.7" right="0.7" top="0.75" bottom="0.75" header="0.3" footer="0.3"/>
</x:worksheet>
</file>

<file path=xl/worksheets/sheet7.xml><?xml version="1.0" encoding="utf-8"?>
<x:worksheet xmlns:x="http://schemas.openxmlformats.org/spreadsheetml/2006/main">
  <x:sheetFormatPr defaultRowHeight="15"/>
  <x:cols>
    <x:col min="1" max="1" width="29" hidden="0" customWidth="1"/>
    <x:col min="2" max="2" width="47" hidden="0" customWidth="1"/>
    <x:col min="3" max="3" width="36" hidden="0" customWidth="1"/>
    <x:col min="4" max="4" width="38" hidden="0" customWidth="1"/>
    <x:col min="5" max="5" width="34" hidden="0" customWidth="1"/>
    <x:col min="6" max="6" width="20" hidden="0" customWidth="1"/>
    <x:col min="7" max="7" width="42" hidden="0" customWidth="1"/>
    <x:col min="8" max="8" width="9" hidden="0" customWidth="1"/>
  </x:cols>
  <x:sheetData>
    <x:row r="1" ht="32" customHeight="1">
      <x:c r="A1" s="46" t="str">
        <x:v>How to Present This Project in an Internship Interview</x:v>
      </x:c>
      <x:c r="B1" s="46"/>
      <x:c r="C1" s="46"/>
      <x:c r="D1" s="46"/>
      <x:c r="E1" s="46"/>
      <x:c r="F1" s="46"/>
      <x:c r="G1" s="46"/>
      <x:c r="H1" s="46"/>
    </x:row>
    <x:row r="3" ht="25" customHeight="1">
      <x:c r="A3" s="79" t="str">
        <x:v>90-second Chinese pitch | 90秒中文项目介绍</x:v>
      </x:c>
      <x:c r="B3" s="79"/>
      <x:c r="C3" s="79"/>
      <x:c r="D3" s="79"/>
      <x:c r="E3" s="79"/>
      <x:c r="F3" s="79"/>
      <x:c r="G3" s="79"/>
      <x:c r="H3" s="79"/>
    </x:row>
    <x:row r="4">
      <x:c r="A4" s="83" t="str">
        <x:v>我用 SCFI 做了一个 2020—2026 年集装箱班轮市场分析项目。项目不只是画指数折线，而是把月度趋势、同比环比、移动平均、波动率、回撤、年度周期和关键事件放在同一套框架里。分析显示，2021—2022 年高运价的核心不是单纯货量增加，而是商品需求、港口拥堵、集装箱短缺和低班期可靠性共同压缩了有效运力；2022 年下半年到 2023 年，需求正常化与新船交付使市场快速回落；2024 年红海绕航、2025 年关税导致的抢运以及 2026 年燃油和地缘风险又推动了阶段性反弹。这个项目让我学会区分名义运力和有效运力，也能解释 SCFI 与 BDI 在货种、市场结构和船公司运力管理上的差异。</x:v>
      </x:c>
      <x:c r="B4" s="83"/>
      <x:c r="C4" s="83"/>
      <x:c r="D4" s="83"/>
      <x:c r="E4" s="83"/>
      <x:c r="F4" s="83"/>
      <x:c r="G4" s="83"/>
      <x:c r="H4" s="83"/>
    </x:row>
    <x:row r="5">
      <x:c r="A5" s="83"/>
      <x:c r="B5" s="83"/>
      <x:c r="C5" s="83"/>
      <x:c r="D5" s="83"/>
      <x:c r="E5" s="83"/>
      <x:c r="F5" s="83"/>
      <x:c r="G5" s="83"/>
      <x:c r="H5" s="83"/>
    </x:row>
    <x:row r="6">
      <x:c r="A6" s="83"/>
      <x:c r="B6" s="83"/>
      <x:c r="C6" s="83"/>
      <x:c r="D6" s="83"/>
      <x:c r="E6" s="83"/>
      <x:c r="F6" s="83"/>
      <x:c r="G6" s="83"/>
      <x:c r="H6" s="83"/>
    </x:row>
    <x:row r="7">
      <x:c r="A7" s="83"/>
      <x:c r="B7" s="83"/>
      <x:c r="C7" s="83"/>
      <x:c r="D7" s="83"/>
      <x:c r="E7" s="83"/>
      <x:c r="F7" s="83"/>
      <x:c r="G7" s="83"/>
      <x:c r="H7" s="83"/>
    </x:row>
    <x:row r="9" ht="25" customHeight="1">
      <x:c r="A9" s="77" t="str">
        <x:v>60-second English pitch</x:v>
      </x:c>
      <x:c r="B9" s="77"/>
      <x:c r="C9" s="77"/>
      <x:c r="D9" s="77"/>
      <x:c r="E9" s="77"/>
      <x:c r="F9" s="77"/>
      <x:c r="G9" s="77"/>
      <x:c r="H9" s="77"/>
    </x:row>
    <x:row r="10">
      <x:c r="A10" s="83" t="str">
        <x:v>I built a container shipping market analysis project using the Shanghai Containerized Freight Index from 2020 to 2026. Instead of only plotting the index, I calculated monthly and yearly changes, moving averages, volatility and drawdowns, and then linked major turning points to cargo demand, effective vessel capacity, port congestion, rerouting, blank sailings and fuel costs. My main finding is that the pandemic peak was caused by both strong goods demand and a severe loss of effective capacity, while the 2022-2023 correction reflected demand normalization and fleet expansion. The project also helped me explain why SCFI is more sensitive than CCFI and why its drivers differ from the BDI dry bulk market.</x:v>
      </x:c>
      <x:c r="B10" s="83"/>
      <x:c r="C10" s="83"/>
      <x:c r="D10" s="83"/>
      <x:c r="E10" s="83"/>
      <x:c r="F10" s="83"/>
      <x:c r="G10" s="83"/>
      <x:c r="H10" s="83"/>
    </x:row>
    <x:row r="11">
      <x:c r="A11" s="83"/>
      <x:c r="B11" s="83"/>
      <x:c r="C11" s="83"/>
      <x:c r="D11" s="83"/>
      <x:c r="E11" s="83"/>
      <x:c r="F11" s="83"/>
      <x:c r="G11" s="83"/>
      <x:c r="H11" s="83"/>
    </x:row>
    <x:row r="12">
      <x:c r="A12" s="83"/>
      <x:c r="B12" s="83"/>
      <x:c r="C12" s="83"/>
      <x:c r="D12" s="83"/>
      <x:c r="E12" s="83"/>
      <x:c r="F12" s="83"/>
      <x:c r="G12" s="83"/>
      <x:c r="H12" s="83"/>
    </x:row>
    <x:row r="13">
      <x:c r="A13" s="83"/>
      <x:c r="B13" s="83"/>
      <x:c r="C13" s="83"/>
      <x:c r="D13" s="83"/>
      <x:c r="E13" s="83"/>
      <x:c r="F13" s="83"/>
      <x:c r="G13" s="83"/>
      <x:c r="H13" s="83"/>
    </x:row>
    <x:row r="15" ht="32" customHeight="1">
      <x:c r="A15" s="52" t="str">
        <x:v>Question</x:v>
      </x:c>
      <x:c r="B15" s="52" t="str">
        <x:v>Best answer framework</x:v>
      </x:c>
      <x:c r="C15" s="52" t="str">
        <x:v>Key point</x:v>
      </x:c>
      <x:c r="D15" s="52" t="str">
        <x:v>Evidence</x:v>
      </x:c>
      <x:c r="E15" s="52" t="str">
        <x:v>Avoid</x:v>
      </x:c>
      <x:c r="F15" s="52" t="str">
        <x:v>English keyword</x:v>
      </x:c>
      <x:c r="G15" s="52" t="str">
        <x:v>Resume line</x:v>
      </x:c>
      <x:c r="H15" s="52" t="str">
        <x:v>Score</x:v>
      </x:c>
    </x:row>
    <x:row r="16">
      <x:c r="A16" s="35" t="str">
        <x:v>Why did SCFI peak in 2021-2022?</x:v>
      </x:c>
      <x:c r="B16" s="35" t="str">
        <x:v>Demand surge + reduced effective capacity + congestion</x:v>
      </x:c>
      <x:c r="C16" s="35" t="str">
        <x:v>Not just more cargo</x:v>
      </x:c>
      <x:c r="D16" s="35" t="str">
        <x:v>SCFI &gt; 5,100 in Jan 2022</x:v>
      </x:c>
      <x:c r="E16" s="35" t="str">
        <x:v>Single-cause explanation</x:v>
      </x:c>
      <x:c r="F16" s="35" t="str">
        <x:v>effective capacity</x:v>
      </x:c>
      <x:c r="G16" s="35" t="str">
        <x:v>Analyzed container freight cycles using SCFI</x:v>
      </x:c>
      <x:c r="H16" s="35" t="n">
        <x:v>5</x:v>
      </x:c>
    </x:row>
    <x:row r="17">
      <x:c r="A17" s="35" t="str">
        <x:v>Why did rates collapse in late 2022?</x:v>
      </x:c>
      <x:c r="B17" s="35" t="str">
        <x:v>Demand normalization + inventory correction + congestion easing</x:v>
      </x:c>
      <x:c r="C17" s="35" t="str">
        <x:v>Supply returned faster than demand</x:v>
      </x:c>
      <x:c r="D17" s="35" t="str">
        <x:v>Rapid fall through Sep-Nov 2022</x:v>
      </x:c>
      <x:c r="E17" s="35" t="str">
        <x:v>Only saying 'economy bad'</x:v>
      </x:c>
      <x:c r="F17" s="35" t="str">
        <x:v>normalization</x:v>
      </x:c>
      <x:c r="G17" s="35" t="str">
        <x:v>Identified major market turning points</x:v>
      </x:c>
      <x:c r="H17" s="35" t="n">
        <x:v>5</x:v>
      </x:c>
    </x:row>
    <x:row r="18">
      <x:c r="A18" s="35" t="str">
        <x:v>Why did 2024 rates rise?</x:v>
      </x:c>
      <x:c r="B18" s="35" t="str">
        <x:v>Red Sea rerouting + front-loading + congestion</x:v>
      </x:c>
      <x:c r="C18" s="35" t="str">
        <x:v>Longer routes absorb slot-days</x:v>
      </x:c>
      <x:c r="D18" s="35" t="str">
        <x:v>2024 Jan and Jul surge</x:v>
      </x:c>
      <x:c r="E18" s="35" t="str">
        <x:v>Treating fuel cost as the only cause</x:v>
      </x:c>
      <x:c r="F18" s="35" t="str">
        <x:v>Cape rerouting</x:v>
      </x:c>
      <x:c r="G18" s="35" t="str">
        <x:v>Linked geopolitical events to freight rates</x:v>
      </x:c>
      <x:c r="H18" s="35" t="n">
        <x:v>5</x:v>
      </x:c>
    </x:row>
    <x:row r="19">
      <x:c r="A19" s="35" t="str">
        <x:v>SCFI vs BDI?</x:v>
      </x:c>
      <x:c r="B19" s="35" t="str">
        <x:v>Container consumer goods / liner spot market vs bulk commodities / tramp shipping</x:v>
      </x:c>
      <x:c r="C19" s="35" t="str">
        <x:v>Different cargo, market structure and capacity control</x:v>
      </x:c>
      <x:c r="D19" s="35" t="str">
        <x:v>SCFI weekly Shanghai export spot focus</x:v>
      </x:c>
      <x:c r="E19" s="35" t="str">
        <x:v>Calling both general freight indices</x:v>
      </x:c>
      <x:c r="F19" s="35" t="str">
        <x:v>liner vs tramp</x:v>
      </x:c>
      <x:c r="G19" s="35" t="str">
        <x:v>Compared container and dry-bulk market drivers</x:v>
      </x:c>
      <x:c r="H19" s="35" t="n">
        <x:v>5</x:v>
      </x:c>
    </x:row>
    <x:row r="20">
      <x:c r="A20" s="35" t="str">
        <x:v>What is the data limitation?</x:v>
      </x:c>
      <x:c r="B20" s="35" t="str">
        <x:v>Licensed full weekly history not reproduced; monthly reference reconstruction</x:v>
      </x:c>
      <x:c r="C20" s="35" t="str">
        <x:v>Honesty increases credibility</x:v>
      </x:c>
      <x:c r="D20" s="35" t="str">
        <x:v>Data Quality sheet and source column</x:v>
      </x:c>
      <x:c r="E20" s="35" t="str">
        <x:v>Calling all rows official raw data</x:v>
      </x:c>
      <x:c r="F20" s="35" t="str">
        <x:v>data provenance</x:v>
      </x:c>
      <x:c r="G20" s="35" t="str">
        <x:v>Documented data quality and limitations</x:v>
      </x:c>
      <x:c r="H20" s="35" t="n">
        <x:v>5</x:v>
      </x:c>
    </x:row>
  </x:sheetData>
  <x:mergeCells>
    <x:mergeCell ref="A1:H1"/>
    <x:mergeCell ref="A3:H3"/>
    <x:mergeCell ref="A4:H7"/>
    <x:mergeCell ref="A9:H9"/>
    <x:mergeCell ref="A10:H13"/>
  </x:mergeCells>
  <x:conditionalFormatting sqref="H16:H20">
    <x:cfRule type="dataBar" priority="1">
      <x:dataBar>
        <x:cfvo type="min"/>
        <x:cfvo type="max"/>
        <x:color rgb="FF047857"/>
      </x:dataBar>
      <x:extLst>
        <x:ext xmlns:x14="http://schemas.microsoft.com/office/spreadsheetml/2009/9/main" uri="{B025F937-C7B1-47D3-B67F-A62EFF666E3E}">
          <x14:id>{DEBA6E3E-6E52-6A20-F4EE-DD82F7A73BA5}</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DEBA6E3E-6E52-6A20-F4EE-DD82F7A73BA5}">
            <x14:dataBar gradient="1">
              <x14:cfvo type="min"/>
              <x14:cfvo type="max"/>
              <x14:fillColor rgb="FF047857"/>
            </x14:dataBar>
          </x14:cfRule>
          <xm:sqref>H16:H20</xm:sqref>
        </x14:conditionalFormatting>
      </x14:conditionalFormattings>
    </x:ext>
  </x:extLst>
</x:worksheet>
</file>

<file path=xl/worksheets/sheet8.xml><?xml version="1.0" encoding="utf-8"?>
<x:worksheet xmlns:x="http://schemas.openxmlformats.org/spreadsheetml/2006/main">
  <x:sheetFormatPr defaultRowHeight="15"/>
  <x:cols>
    <x:col min="10" max="10" width="34" hidden="0" customWidth="1"/>
    <x:col min="7" max="7" width="22" hidden="0" customWidth="1"/>
    <x:col min="8" max="8" width="12" hidden="0" customWidth="1"/>
    <x:col min="9" max="9" width="12" hidden="0" customWidth="1"/>
    <x:col min="1" max="1" width="12" hidden="0" customWidth="1"/>
    <x:col min="2" max="2" width="12" hidden="0" customWidth="1"/>
    <x:col min="3" max="3" width="12" hidden="0" customWidth="1"/>
    <x:col min="4" max="4" width="12" hidden="0" customWidth="1"/>
    <x:col min="5" max="5" width="12" hidden="0" customWidth="1"/>
    <x:col min="6" max="6" width="12" hidden="0" customWidth="1"/>
    <x:col min="11" max="11" width="12" hidden="0" customWidth="1"/>
    <x:col min="12" max="12" width="12" hidden="0" customWidth="1"/>
    <x:col min="13" max="13" width="12" hidden="0" customWidth="1"/>
    <x:col min="14" max="14" width="12" hidden="0" customWidth="1"/>
  </x:cols>
  <x:sheetData>
    <x:row r="1" ht="28" customHeight="1">
      <x:c r="A1" s="89" t="str">
        <x:v>SCFI CONTAINER SHIPPING MARKET INTELLIGENCE</x:v>
      </x:c>
      <x:c r="B1" s="89"/>
      <x:c r="C1" s="89"/>
      <x:c r="D1" s="89"/>
      <x:c r="E1" s="89"/>
      <x:c r="F1" s="89"/>
      <x:c r="G1" s="89"/>
      <x:c r="H1" s="89"/>
      <x:c r="I1" s="89"/>
      <x:c r="J1" s="89"/>
      <x:c r="K1" s="89"/>
      <x:c r="L1" s="89"/>
      <x:c r="M1" s="89"/>
      <x:c r="N1" s="89"/>
    </x:row>
    <x:row r="2" ht="28" customHeight="1">
      <x:c r="A2" s="89"/>
      <x:c r="B2" s="89"/>
      <x:c r="C2" s="89"/>
      <x:c r="D2" s="89"/>
      <x:c r="E2" s="89"/>
      <x:c r="F2" s="89"/>
      <x:c r="G2" s="89"/>
      <x:c r="H2" s="89"/>
      <x:c r="I2" s="89"/>
      <x:c r="J2" s="89"/>
      <x:c r="K2" s="89"/>
      <x:c r="L2" s="89"/>
      <x:c r="M2" s="89"/>
      <x:c r="N2" s="89"/>
    </x:row>
    <x:row r="3" ht="22" customHeight="1">
      <x:c r="A3" s="95" t="str">
        <x:v>2020-2026 | As of 17 Jul 2026 | Portfolio-grade Excel + Python + Event Study</x:v>
      </x:c>
      <x:c r="B3" s="95"/>
      <x:c r="C3" s="95"/>
      <x:c r="D3" s="95"/>
      <x:c r="E3" s="95"/>
      <x:c r="F3" s="95"/>
      <x:c r="G3" s="95"/>
      <x:c r="H3" s="95"/>
      <x:c r="I3" s="95"/>
      <x:c r="J3" s="95"/>
      <x:c r="K3" s="95"/>
      <x:c r="L3" s="95"/>
      <x:c r="M3" s="95"/>
      <x:c r="N3" s="95"/>
    </x:row>
    <x:row r="5" ht="22" customHeight="1">
      <x:c r="A5" s="79" t="str">
        <x:v>Latest SCFI</x:v>
      </x:c>
      <x:c r="B5" s="79"/>
      <x:c r="C5" s="79"/>
      <x:c r="D5" s="79" t="str">
        <x:v>1M Change (weekly)</x:v>
      </x:c>
      <x:c r="E5" s="79"/>
      <x:c r="F5" s="79"/>
      <x:c r="G5" s="79" t="str">
        <x:v>1Y Change (weekly)</x:v>
      </x:c>
      <x:c r="H5" s="79"/>
      <x:c r="I5" s="79"/>
      <x:c r="J5" s="79" t="str">
        <x:v>All-time High</x:v>
      </x:c>
      <x:c r="K5" s="79"/>
      <x:c r="L5" s="79"/>
    </x:row>
    <x:row r="6">
      <x:c r="A6" s="105" t="n">
        <x:f>'Monthly Data'!B83</x:f>
        <x:v>3184.83</x:v>
      </x:c>
      <x:c r="B6" s="101"/>
      <x:c r="C6" s="101"/>
      <x:c r="D6" s="107" t="n">
        <x:f>'Latest Snapshot'!B5</x:f>
        <x:v>0.0202</x:v>
      </x:c>
      <x:c r="E6" s="101"/>
      <x:c r="F6" s="101"/>
      <x:c r="G6" s="107" t="n">
        <x:f>'Latest Snapshot'!B6</x:f>
        <x:v>0.9338</x:v>
      </x:c>
      <x:c r="H6" s="101"/>
      <x:c r="I6" s="101"/>
      <x:c r="J6" s="105" t="n">
        <x:f>MAX('Monthly Data'!B5:B83)</x:f>
        <x:v>5109.6</x:v>
      </x:c>
      <x:c r="K6" s="101"/>
      <x:c r="L6" s="101"/>
    </x:row>
    <x:row r="7">
      <x:c r="A7" s="101"/>
      <x:c r="B7" s="101"/>
      <x:c r="C7" s="101"/>
      <x:c r="D7" s="101"/>
      <x:c r="E7" s="101"/>
      <x:c r="F7" s="101"/>
      <x:c r="G7" s="101"/>
      <x:c r="H7" s="101"/>
      <x:c r="I7" s="101"/>
      <x:c r="J7" s="101"/>
      <x:c r="K7" s="101"/>
      <x:c r="L7" s="101"/>
    </x:row>
    <x:row r="8">
      <x:c r="A8" s="101"/>
      <x:c r="B8" s="101"/>
      <x:c r="C8" s="101"/>
      <x:c r="D8" s="101"/>
      <x:c r="E8" s="101"/>
      <x:c r="F8" s="101"/>
      <x:c r="G8" s="101"/>
      <x:c r="H8" s="101"/>
      <x:c r="I8" s="101"/>
      <x:c r="J8" s="101"/>
      <x:c r="K8" s="101"/>
      <x:c r="L8" s="101"/>
    </x:row>
    <x:row r="10" ht="22" customHeight="1">
      <x:c r="A10" s="79" t="str">
        <x:v>Drawdown vs Peak</x:v>
      </x:c>
      <x:c r="B10" s="79"/>
      <x:c r="C10" s="79"/>
      <x:c r="D10" s="79" t="str">
        <x:v>2026 YTD Average</x:v>
      </x:c>
      <x:c r="E10" s="79"/>
      <x:c r="F10" s="79"/>
      <x:c r="G10" s="109" t="str">
        <x:v>2026 MARKET WATCHLIST</x:v>
      </x:c>
      <x:c r="H10" s="109"/>
      <x:c r="I10" s="109"/>
      <x:c r="J10" s="109"/>
      <x:c r="K10" s="109"/>
      <x:c r="L10" s="109"/>
      <x:c r="M10" s="109"/>
      <x:c r="N10" s="109"/>
    </x:row>
    <x:row r="11">
      <x:c r="A11" s="107" t="n">
        <x:f>'Monthly Data'!H83</x:f>
        <x:v>-0.37669680601221234</x:v>
      </x:c>
      <x:c r="B11" s="101"/>
      <x:c r="C11" s="101"/>
      <x:c r="D11" s="105" t="n">
        <x:f>AVERAGE('Monthly Data'!B77:B83)</x:f>
        <x:v>2136.87</x:v>
      </x:c>
      <x:c r="E11" s="101"/>
      <x:c r="F11" s="101"/>
      <x:c r="G11" s="40" t="str">
        <x:v>Driver</x:v>
      </x:c>
      <x:c r="H11" s="40" t="str">
        <x:v>Signal</x:v>
      </x:c>
      <x:c r="I11" s="40" t="str">
        <x:v>Bias</x:v>
      </x:c>
      <x:c r="J11" s="40" t="str">
        <x:v>Why it matters</x:v>
      </x:c>
    </x:row>
    <x:row r="12">
      <x:c r="A12" s="101"/>
      <x:c r="B12" s="101"/>
      <x:c r="C12" s="101"/>
      <x:c r="D12" s="101"/>
      <x:c r="E12" s="101"/>
      <x:c r="F12" s="101"/>
      <x:c r="G12" s="35" t="str">
        <x:v>Fuel / war risk</x:v>
      </x:c>
      <x:c r="H12" s="35" t="str">
        <x:v>High</x:v>
      </x:c>
      <x:c r="I12" s="35" t="str">
        <x:v>Up</x:v>
      </x:c>
      <x:c r="J12" s="35" t="str">
        <x:v>Raises surcharges and can reduce route efficiency</x:v>
      </x:c>
    </x:row>
    <x:row r="13">
      <x:c r="A13" s="101"/>
      <x:c r="B13" s="101"/>
      <x:c r="C13" s="101"/>
      <x:c r="D13" s="101"/>
      <x:c r="E13" s="101"/>
      <x:c r="F13" s="101"/>
      <x:c r="G13" s="35" t="str">
        <x:v>Tariff front-loading</x:v>
      </x:c>
      <x:c r="H13" s="35" t="str">
        <x:v>High</x:v>
      </x:c>
      <x:c r="I13" s="35" t="str">
        <x:v>Up</x:v>
      </x:c>
      <x:c r="J13" s="35" t="str">
        <x:v>Pulls future demand into the current booking window</x:v>
      </x:c>
    </x:row>
    <x:row r="14">
      <x:c r="G14" s="35" t="str">
        <x:v>Fleet deliveries</x:v>
      </x:c>
      <x:c r="H14" s="35" t="str">
        <x:v>High</x:v>
      </x:c>
      <x:c r="I14" s="35" t="str">
        <x:v>Down</x:v>
      </x:c>
      <x:c r="J14" s="35" t="str">
        <x:v>Structural supply growth caps sustained rates</x:v>
      </x:c>
    </x:row>
    <x:row r="15">
      <x:c r="G15" s="35" t="str">
        <x:v>Carrier capacity discipline</x:v>
      </x:c>
      <x:c r="H15" s="35" t="str">
        <x:v>Medium</x:v>
      </x:c>
      <x:c r="I15" s="35" t="str">
        <x:v>Up</x:v>
      </x:c>
      <x:c r="J15" s="35" t="str">
        <x:v>Blank sailings can defend weekly spot rates</x:v>
      </x:c>
    </x:row>
    <x:row r="55" ht="26" customHeight="1">
      <x:c r="A55" s="112" t="str">
        <x:v>Core conclusion: SCFI is driven by the interaction of cargo demand and effective capacity - not by a single news event.</x:v>
      </x:c>
      <x:c r="B55" s="112"/>
      <x:c r="C55" s="112"/>
      <x:c r="D55" s="112"/>
      <x:c r="E55" s="112"/>
      <x:c r="F55" s="112"/>
      <x:c r="G55" s="112"/>
      <x:c r="H55" s="112"/>
      <x:c r="I55" s="112"/>
      <x:c r="J55" s="112"/>
      <x:c r="K55" s="112"/>
      <x:c r="L55" s="112"/>
      <x:c r="M55" s="112"/>
      <x:c r="N55" s="112"/>
    </x:row>
  </x:sheetData>
  <x:mergeCells>
    <x:mergeCell ref="A1:N2"/>
    <x:mergeCell ref="A3:N3"/>
    <x:mergeCell ref="A5:C5"/>
    <x:mergeCell ref="A6:C8"/>
    <x:mergeCell ref="D5:F5"/>
    <x:mergeCell ref="D6:F8"/>
    <x:mergeCell ref="G5:I5"/>
    <x:mergeCell ref="G6:I8"/>
    <x:mergeCell ref="J5:L5"/>
    <x:mergeCell ref="J6:L8"/>
    <x:mergeCell ref="A10:C10"/>
    <x:mergeCell ref="A11:C13"/>
    <x:mergeCell ref="D10:F10"/>
    <x:mergeCell ref="D11:F13"/>
    <x:mergeCell ref="G10:N10"/>
    <x:mergeCell ref="A55:N55"/>
  </x:mergeCells>
  <x:pageMargins left="0.7" right="0.7" top="0.75" bottom="0.75" header="0.3" footer="0.3"/>
  <x:drawing xmlns:r="http://schemas.openxmlformats.org/officeDocument/2006/relationships" r:id="R0ca9143061324799"/>
</x:worksheet>
</file>

<file path=xl/worksheets/sheet9.xml><?xml version="1.0" encoding="utf-8"?>
<x:worksheet xmlns:x="http://schemas.openxmlformats.org/spreadsheetml/2006/main">
  <x:sheetFormatPr defaultRowHeight="15"/>
  <x:cols>
    <x:col min="1" max="1" width="22" hidden="0" customWidth="1"/>
    <x:col min="2" max="2" width="14" hidden="0" customWidth="1"/>
    <x:col min="3" max="3" width="12" hidden="0" customWidth="1"/>
    <x:col min="4" max="4" width="14" hidden="0" customWidth="1"/>
    <x:col min="5" max="5" width="22" hidden="0" customWidth="1"/>
    <x:col min="6" max="6" width="52" hidden="0" customWidth="1"/>
  </x:cols>
  <x:sheetData>
    <x:row r="1" ht="30" customHeight="1">
      <x:c r="A1" s="46" t="str">
        <x:v>Latest Public SCFI Snapshot | 17 July 2026</x:v>
      </x:c>
      <x:c r="B1" s="46"/>
      <x:c r="C1" s="46"/>
      <x:c r="D1" s="46"/>
      <x:c r="E1" s="46"/>
      <x:c r="F1" s="46"/>
    </x:row>
    <x:row r="3">
      <x:c r="A3" s="79" t="str">
        <x:v>Metric</x:v>
      </x:c>
      <x:c r="B3" s="79" t="str">
        <x:v>Value</x:v>
      </x:c>
      <x:c r="C3" s="79" t="str">
        <x:v>Unit</x:v>
      </x:c>
      <x:c r="D3" s="79" t="str">
        <x:v>As of</x:v>
      </x:c>
      <x:c r="E3" s="79" t="str">
        <x:v>Source</x:v>
      </x:c>
      <x:c r="F3" s="79" t="str">
        <x:v>Source URL</x:v>
      </x:c>
    </x:row>
    <x:row r="4">
      <x:c r="A4" t="str">
        <x:v>SCFI</x:v>
      </x:c>
      <x:c r="B4" s="30" t="n">
        <x:v>3184.83</x:v>
      </x:c>
      <x:c r="C4" t="str">
        <x:v>points</x:v>
      </x:c>
      <x:c r="D4" s="115" t="n">
        <x:v>46220</x:v>
      </x:c>
      <x:c r="E4" t="str">
        <x:v>Trading Economics</x:v>
      </x:c>
      <x:c r="F4" t="str">
        <x:v>https://tradingeconomics.com/commodity/containerized-freight-index</x:v>
      </x:c>
    </x:row>
    <x:row r="5">
      <x:c r="A5" t="str">
        <x:v>1-month change</x:v>
      </x:c>
      <x:c r="B5" s="32" t="n">
        <x:v>0.0202</x:v>
      </x:c>
      <x:c r="C5" t="str">
        <x:v>%</x:v>
      </x:c>
      <x:c r="D5" s="115" t="n">
        <x:v>46220</x:v>
      </x:c>
      <x:c r="E5" t="str">
        <x:v>Trading Economics</x:v>
      </x:c>
      <x:c r="F5" t="str">
        <x:v>https://tradingeconomics.com/commodity/containerized-freight-index</x:v>
      </x:c>
    </x:row>
    <x:row r="6">
      <x:c r="A6" t="str">
        <x:v>1-year change</x:v>
      </x:c>
      <x:c r="B6" s="32" t="n">
        <x:v>0.9338</x:v>
      </x:c>
      <x:c r="C6" t="str">
        <x:v>%</x:v>
      </x:c>
      <x:c r="D6" s="115" t="n">
        <x:v>46220</x:v>
      </x:c>
      <x:c r="E6" t="str">
        <x:v>Trading Economics</x:v>
      </x:c>
      <x:c r="F6" t="str">
        <x:v>https://tradingeconomics.com/commodity/containerized-freight-index</x:v>
      </x:c>
    </x:row>
    <x:row r="7">
      <x:c r="A7" t="str">
        <x:v>All-time high</x:v>
      </x:c>
      <x:c r="B7" s="30" t="n">
        <x:v>5109.6</x:v>
      </x:c>
      <x:c r="C7" t="str">
        <x:v>points</x:v>
      </x:c>
      <x:c r="D7" s="115" t="n">
        <x:v>44562</x:v>
      </x:c>
      <x:c r="E7" t="str">
        <x:v>Trading Economics</x:v>
      </x:c>
      <x:c r="F7" t="str">
        <x:v>https://tradingeconomics.com/commodity/containerized-freight-index</x:v>
      </x:c>
    </x:row>
  </x:sheetData>
  <x:mergeCells>
    <x:mergeCell ref="A1:F1"/>
  </x:mergeCells>
  <x:pageMargins left="0.7" right="0.7" top="0.75" bottom="0.75" header="0.3" footer="0.3"/>
</x:worksheet>
</file>